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chenzhida/Desktop/sales_tool/assets/"/>
    </mc:Choice>
  </mc:AlternateContent>
  <xr:revisionPtr revIDLastSave="0" documentId="13_ncr:1_{E58B000B-FA6A-8746-9361-7FD536FA3704}" xr6:coauthVersionLast="47" xr6:coauthVersionMax="47" xr10:uidLastSave="{00000000-0000-0000-0000-000000000000}"/>
  <bookViews>
    <workbookView xWindow="0" yWindow="780" windowWidth="34200" windowHeight="19620" xr2:uid="{00000000-000D-0000-FFFF-FFFF00000000}"/>
  </bookViews>
  <sheets>
    <sheet name="到客户" sheetId="4" r:id="rId1"/>
    <sheet name="到门店" sheetId="5" r:id="rId2"/>
  </sheets>
  <definedNames>
    <definedName name="_xlnm._FilterDatabase" localSheetId="0" hidden="1">到客户!$A$1:$AN$1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4" i="4" l="1"/>
  <c r="S34" i="4"/>
  <c r="P34" i="4"/>
  <c r="M34" i="4"/>
  <c r="J34" i="4"/>
  <c r="G34" i="4"/>
  <c r="V33" i="4"/>
  <c r="S33" i="4"/>
  <c r="P33" i="4"/>
  <c r="M33" i="4"/>
  <c r="J33" i="4"/>
  <c r="G33" i="4"/>
  <c r="O23" i="5"/>
  <c r="L23" i="5"/>
  <c r="H23" i="5"/>
  <c r="O12" i="5"/>
  <c r="L12" i="5"/>
  <c r="H12" i="5"/>
  <c r="E23" i="5"/>
  <c r="E12" i="5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  <c r="V32" i="4"/>
  <c r="V31" i="4"/>
  <c r="V30" i="4"/>
  <c r="V29" i="4"/>
  <c r="V28" i="4"/>
  <c r="V27" i="4"/>
  <c r="V26" i="4"/>
  <c r="V25" i="4"/>
  <c r="V24" i="4"/>
  <c r="V23" i="4"/>
  <c r="V22" i="4"/>
  <c r="V21" i="4"/>
  <c r="V20" i="4"/>
  <c r="V19" i="4"/>
  <c r="V18" i="4"/>
  <c r="V17" i="4"/>
  <c r="V16" i="4"/>
  <c r="V15" i="4"/>
  <c r="V14" i="4"/>
  <c r="V13" i="4"/>
  <c r="V12" i="4"/>
  <c r="V11" i="4"/>
  <c r="V10" i="4"/>
  <c r="V9" i="4"/>
  <c r="V8" i="4"/>
  <c r="V7" i="4"/>
  <c r="V6" i="4"/>
  <c r="V5" i="4"/>
  <c r="V4" i="4"/>
  <c r="V3" i="4"/>
  <c r="V2" i="4"/>
  <c r="S32" i="4"/>
  <c r="S31" i="4"/>
  <c r="S30" i="4"/>
  <c r="S29" i="4"/>
  <c r="S28" i="4"/>
  <c r="S27" i="4"/>
  <c r="S26" i="4"/>
  <c r="S25" i="4"/>
  <c r="S24" i="4"/>
  <c r="S23" i="4"/>
  <c r="S22" i="4"/>
  <c r="S21" i="4"/>
  <c r="S20" i="4"/>
  <c r="S19" i="4"/>
  <c r="S18" i="4"/>
  <c r="S17" i="4"/>
  <c r="S16" i="4"/>
  <c r="S15" i="4"/>
  <c r="S14" i="4"/>
  <c r="S13" i="4"/>
  <c r="S12" i="4"/>
  <c r="S11" i="4"/>
  <c r="S10" i="4"/>
  <c r="S9" i="4"/>
  <c r="S8" i="4"/>
  <c r="S7" i="4"/>
  <c r="S6" i="4"/>
  <c r="S5" i="4"/>
  <c r="S4" i="4"/>
  <c r="S3" i="4"/>
  <c r="S2" i="4"/>
  <c r="P32" i="4"/>
  <c r="P31" i="4"/>
  <c r="P30" i="4"/>
  <c r="P29" i="4"/>
  <c r="P28" i="4"/>
  <c r="P27" i="4"/>
  <c r="P26" i="4"/>
  <c r="P25" i="4"/>
  <c r="P24" i="4"/>
  <c r="P23" i="4"/>
  <c r="P22" i="4"/>
  <c r="P21" i="4"/>
  <c r="P20" i="4"/>
  <c r="P19" i="4"/>
  <c r="P18" i="4"/>
  <c r="P17" i="4"/>
  <c r="P16" i="4"/>
  <c r="P15" i="4"/>
  <c r="P14" i="4"/>
  <c r="P13" i="4"/>
  <c r="P12" i="4"/>
  <c r="P11" i="4"/>
  <c r="P10" i="4"/>
  <c r="P9" i="4"/>
  <c r="P8" i="4"/>
  <c r="P7" i="4"/>
  <c r="P6" i="4"/>
  <c r="P5" i="4"/>
  <c r="P4" i="4"/>
  <c r="P3" i="4"/>
  <c r="P2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6" i="4"/>
  <c r="M15" i="4"/>
  <c r="M14" i="4"/>
  <c r="M13" i="4"/>
  <c r="M12" i="4"/>
  <c r="M11" i="4"/>
  <c r="M10" i="4"/>
  <c r="M9" i="4"/>
  <c r="M8" i="4"/>
  <c r="M7" i="4"/>
  <c r="M6" i="4"/>
  <c r="M5" i="4"/>
  <c r="M4" i="4"/>
  <c r="M3" i="4"/>
  <c r="M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2" i="4"/>
  <c r="P23" i="5"/>
  <c r="P22" i="5"/>
  <c r="P21" i="5"/>
  <c r="P20" i="5"/>
  <c r="P19" i="5"/>
  <c r="P18" i="5"/>
  <c r="P17" i="5"/>
  <c r="P16" i="5"/>
  <c r="P15" i="5"/>
  <c r="P14" i="5"/>
  <c r="P13" i="5"/>
  <c r="P12" i="5"/>
  <c r="P11" i="5"/>
  <c r="P10" i="5"/>
  <c r="P9" i="5"/>
  <c r="P8" i="5"/>
  <c r="P7" i="5"/>
  <c r="P6" i="5"/>
  <c r="P5" i="5"/>
  <c r="P4" i="5"/>
  <c r="P3" i="5"/>
  <c r="M23" i="5"/>
  <c r="M22" i="5"/>
  <c r="M21" i="5"/>
  <c r="M20" i="5"/>
  <c r="M19" i="5"/>
  <c r="M18" i="5"/>
  <c r="M17" i="5"/>
  <c r="M16" i="5"/>
  <c r="M15" i="5"/>
  <c r="M14" i="5"/>
  <c r="M13" i="5"/>
  <c r="M12" i="5"/>
  <c r="M11" i="5"/>
  <c r="M10" i="5"/>
  <c r="M9" i="5"/>
  <c r="M8" i="5"/>
  <c r="M7" i="5"/>
  <c r="M6" i="5"/>
  <c r="M5" i="5"/>
  <c r="M4" i="5"/>
  <c r="M3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I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3" i="5"/>
  <c r="Q23" i="5"/>
  <c r="N23" i="5"/>
  <c r="K23" i="5"/>
  <c r="J23" i="5"/>
  <c r="G23" i="5"/>
  <c r="D23" i="5"/>
  <c r="Q12" i="5"/>
  <c r="N12" i="5"/>
  <c r="K12" i="5"/>
  <c r="J12" i="5"/>
  <c r="G12" i="5"/>
  <c r="D12" i="5"/>
  <c r="C35" i="4"/>
  <c r="D35" i="4"/>
  <c r="E35" i="4"/>
  <c r="F35" i="4"/>
  <c r="H35" i="4"/>
  <c r="I35" i="4"/>
  <c r="K35" i="4"/>
  <c r="L35" i="4"/>
  <c r="M35" i="4" s="1"/>
  <c r="N35" i="4"/>
  <c r="O35" i="4"/>
  <c r="Q35" i="4"/>
  <c r="R35" i="4"/>
  <c r="T35" i="4"/>
  <c r="U35" i="4"/>
  <c r="B35" i="4"/>
  <c r="W35" i="4"/>
  <c r="X35" i="4"/>
  <c r="Y35" i="4"/>
  <c r="Z35" i="4"/>
  <c r="AA35" i="4"/>
  <c r="AB35" i="4"/>
  <c r="AC35" i="4"/>
  <c r="AD35" i="4"/>
  <c r="AE35" i="4"/>
  <c r="AF35" i="4"/>
  <c r="AG35" i="4"/>
  <c r="AH35" i="4"/>
  <c r="AI35" i="4"/>
  <c r="AJ35" i="4"/>
  <c r="V35" i="4" l="1"/>
  <c r="J35" i="4"/>
  <c r="P35" i="4"/>
  <c r="S35" i="4"/>
  <c r="G35" i="4"/>
</calcChain>
</file>

<file path=xl/sharedStrings.xml><?xml version="1.0" encoding="utf-8"?>
<sst xmlns="http://schemas.openxmlformats.org/spreadsheetml/2006/main" count="140" uniqueCount="112">
  <si>
    <t>华为畅享 90 Plus 8GB+256GB 星空黑 双卡 全网通版</t>
  </si>
  <si>
    <t>华为畅享 90 Plus 8GB+256GB 星海蓝 双卡 全网通版</t>
  </si>
  <si>
    <t>华为畅享 90 Plus 8GB+128GB 星空黑 双卡 全网通版</t>
  </si>
  <si>
    <t>华为畅享 90 Pro Max 8GB+256GB 曜金黑 双卡 全网通版</t>
  </si>
  <si>
    <t>华为畅享 90 Plus 8GB+128GB 羽沙白 双卡 全网通版</t>
  </si>
  <si>
    <t>华为畅享 90 Pro Max 8GB+256GB 飞天青 双卡 全网通版</t>
  </si>
  <si>
    <t>华为畅享 90 Pro Max 8GB+256GB 雪域白 双卡 全网通版</t>
  </si>
  <si>
    <t>华为畅享 90 Pro Max 8GB+256GB 晨曦金 双卡 全网通版</t>
  </si>
  <si>
    <t>华为畅享 90 Pro Max 8GB+512GB 雪域白 双卡 全网通版</t>
  </si>
  <si>
    <t>华为畅享 90 Plus 8GB+128GB 星海蓝 双卡 全网通版</t>
  </si>
  <si>
    <t>华为畅享 90 Pro Max 8GB+512GB 飞天青 双卡 全网通版</t>
  </si>
  <si>
    <t>华为畅享 90 Pro Max 8GB+512GB 晨曦金 双卡 全网通版</t>
  </si>
  <si>
    <t>宣威市阿都乡移动营业厅</t>
  </si>
  <si>
    <t>宣威市安捷通讯经营部</t>
  </si>
  <si>
    <t>宣威市朝龙商贸有限公司</t>
  </si>
  <si>
    <t>宣威市格宜镇时尚通讯</t>
  </si>
  <si>
    <t>宣威市格宜镇兴护商店</t>
  </si>
  <si>
    <t>宣威市龙场镇恒泰通讯手机专卖店</t>
  </si>
  <si>
    <t>宣威市龙潭镇龙潭指定专营店</t>
  </si>
  <si>
    <t>宣威市双河乡顺宏通讯</t>
  </si>
  <si>
    <t>宣威市田坝镇捷任通讯店</t>
  </si>
  <si>
    <t>宣威市同文通讯设备有限公司</t>
  </si>
  <si>
    <t>宣威市文兴乡佳信通讯店</t>
  </si>
  <si>
    <t>云南联启通讯有限公司</t>
  </si>
  <si>
    <t>宣威市来宾街道通讯设备门市部</t>
  </si>
  <si>
    <t>宣威市落水华飞通讯服务部</t>
  </si>
  <si>
    <t>宣威市热水镇旺利通迅</t>
  </si>
  <si>
    <t>宣威市杨柳乡可渡村中国移动特约代理点</t>
  </si>
  <si>
    <t>宣威市板桥街道联启通讯经营部</t>
  </si>
  <si>
    <t>宣威市宝山镇祥和通讯</t>
  </si>
  <si>
    <t>宣威市宏利通讯移动特约代理点</t>
  </si>
  <si>
    <t>宣威市嘉合通讯器材销售部</t>
  </si>
  <si>
    <t>宣威市倘塘镇诚信手机专卖店</t>
  </si>
  <si>
    <t>宣威市倘塘镇辉熠通讯</t>
  </si>
  <si>
    <t>宣威市海岱镇中国移动海岱指定专营店</t>
  </si>
  <si>
    <t>宣威市倘塘镇联启通讯经营指定专营店</t>
  </si>
  <si>
    <t>宣威市田坝镇诚信通讯</t>
  </si>
  <si>
    <t>宣威市西泽通讯服务部</t>
  </si>
  <si>
    <t>宣威市万祥科技有限公司</t>
  </si>
  <si>
    <t>宣威市羊场镇悦达通讯</t>
  </si>
  <si>
    <t>宣威市中浩电脑科技有限公司</t>
  </si>
  <si>
    <t>宣威田坝宏骏通信</t>
  </si>
  <si>
    <t>宣威市联启通讯卖场</t>
  </si>
  <si>
    <t>合计</t>
  </si>
  <si>
    <t>总计</t>
  </si>
  <si>
    <t>华为畅享 90 Plus 8GB+256GB 羽沙白 双卡 全网通版</t>
    <phoneticPr fontId="1" type="noConversion"/>
  </si>
  <si>
    <t>华为畅享 90 Pro Max 8GB+512GB 曜金黑 双卡 全网通版</t>
    <phoneticPr fontId="1" type="noConversion"/>
  </si>
  <si>
    <t>渠道名称</t>
    <phoneticPr fontId="1" type="noConversion"/>
  </si>
  <si>
    <t>首销日目标</t>
  </si>
  <si>
    <t>畅享 90 Pro Max 分货</t>
    <phoneticPr fontId="1" type="noConversion"/>
  </si>
  <si>
    <t>畅享 90 Plus 分货</t>
    <phoneticPr fontId="1" type="noConversion"/>
  </si>
  <si>
    <t>合计分货</t>
    <phoneticPr fontId="1" type="noConversion"/>
  </si>
  <si>
    <t>畅享 90 Plus 
预售目标</t>
    <phoneticPr fontId="1" type="noConversion"/>
  </si>
  <si>
    <t>畅享 90 Plus 
首销日目标</t>
    <phoneticPr fontId="1" type="noConversion"/>
  </si>
  <si>
    <t>畅享 90 Plus 
首销5日目标</t>
    <phoneticPr fontId="1" type="noConversion"/>
  </si>
  <si>
    <t>畅享 90 Pro Max
预售目标</t>
    <phoneticPr fontId="1" type="noConversion"/>
  </si>
  <si>
    <t>畅享 90 Pro Max
首销日目标</t>
    <phoneticPr fontId="1" type="noConversion"/>
  </si>
  <si>
    <t>畅享 90 Pro Max
首销5日目标</t>
    <phoneticPr fontId="1" type="noConversion"/>
  </si>
  <si>
    <t>畅享 90 Plus 
预售达成</t>
    <phoneticPr fontId="1" type="noConversion"/>
  </si>
  <si>
    <t>畅享 90 Plus 
预售达成率</t>
    <phoneticPr fontId="1" type="noConversion"/>
  </si>
  <si>
    <t>畅享 90 Plus 
首销日达成</t>
    <phoneticPr fontId="1" type="noConversion"/>
  </si>
  <si>
    <t>畅享 90 Plus 
首销日达成率</t>
    <phoneticPr fontId="1" type="noConversion"/>
  </si>
  <si>
    <t>畅享 90 Plus 
首销5日达成</t>
    <phoneticPr fontId="1" type="noConversion"/>
  </si>
  <si>
    <t>畅享 90 Plus 
首销5日达成率</t>
    <phoneticPr fontId="1" type="noConversion"/>
  </si>
  <si>
    <t xml:space="preserve">
畅享 90 Pro Max
预售达成</t>
    <phoneticPr fontId="1" type="noConversion"/>
  </si>
  <si>
    <t>畅享 90 Pro Max
预售达成率</t>
    <phoneticPr fontId="1" type="noConversion"/>
  </si>
  <si>
    <t>畅享 90 Pro Max
首销日达成</t>
    <phoneticPr fontId="1" type="noConversion"/>
  </si>
  <si>
    <t>畅享 90 Pro Max
首销日达成率</t>
    <phoneticPr fontId="1" type="noConversion"/>
  </si>
  <si>
    <t>畅享 90 Pro Max
首销5日达成</t>
    <phoneticPr fontId="1" type="noConversion"/>
  </si>
  <si>
    <t>畅享 90 Pro Max
首销5日达成率</t>
    <phoneticPr fontId="1" type="noConversion"/>
  </si>
  <si>
    <t>门店名称</t>
  </si>
  <si>
    <t>导购</t>
  </si>
  <si>
    <t>首销月</t>
  </si>
  <si>
    <t>曲靖市宣威市联启通讯智能家居店</t>
  </si>
  <si>
    <t>张必然</t>
  </si>
  <si>
    <t>曲靖市宣威市联启通讯建设西路12分店</t>
  </si>
  <si>
    <t>周然</t>
  </si>
  <si>
    <t>曲靖市宣威市建设西路联启通讯合作店</t>
  </si>
  <si>
    <t>/</t>
  </si>
  <si>
    <t>曲靖市宣威市联启通讯建设西路13分店</t>
  </si>
  <si>
    <t>陈永鹏</t>
  </si>
  <si>
    <t>曲靖市宣威市联启通讯振兴街总店</t>
  </si>
  <si>
    <t>曲靖市沾益区联启通讯西平路店</t>
  </si>
  <si>
    <t>赵蜜</t>
  </si>
  <si>
    <t>曲靖市沾益区联启通讯龙华北路店</t>
  </si>
  <si>
    <t>云南省曲靖市宣威市建设街联启华为授权体验店</t>
  </si>
  <si>
    <t>云南省曲靖市沾益区龙华北路联启华为授权体验店</t>
  </si>
  <si>
    <t>曲靖市宣威市沃尔玛商业街荣诚通讯合作店</t>
  </si>
  <si>
    <t>云南省曲靖市宣威市振兴街同文华为授权体验店</t>
  </si>
  <si>
    <t>曲靖市宣威市大众通讯振兴街店</t>
  </si>
  <si>
    <t>马举川</t>
  </si>
  <si>
    <t>云南省宣威市九机网1店</t>
  </si>
  <si>
    <t>刘博</t>
  </si>
  <si>
    <t>曲靖市宣威振兴街大众通讯2分店</t>
  </si>
  <si>
    <t>钱彩艳</t>
  </si>
  <si>
    <t>曲靖宣威市文昌通讯振兴中路二楼总店</t>
  </si>
  <si>
    <t>云南省宣威市九机网2店</t>
  </si>
  <si>
    <t>曲靖市宣威市杜鹃花雕像文昌通讯合作店</t>
  </si>
  <si>
    <t>曲靖市宣威市交通门文昌通讯合作店</t>
  </si>
  <si>
    <t>华为授权服务中心（龙泽欣都）</t>
  </si>
  <si>
    <t>督导</t>
    <phoneticPr fontId="1" type="noConversion"/>
  </si>
  <si>
    <t>包月秀</t>
    <phoneticPr fontId="1" type="noConversion"/>
  </si>
  <si>
    <t>王瑜</t>
    <phoneticPr fontId="1" type="noConversion"/>
  </si>
  <si>
    <t>首销5天达成</t>
    <phoneticPr fontId="1" type="noConversion"/>
  </si>
  <si>
    <t>首销5天达成率</t>
    <phoneticPr fontId="1" type="noConversion"/>
  </si>
  <si>
    <t xml:space="preserve">畅享 90 Plus </t>
    <phoneticPr fontId="1" type="noConversion"/>
  </si>
  <si>
    <t>畅享 90 Pro Max</t>
    <phoneticPr fontId="1" type="noConversion"/>
  </si>
  <si>
    <t>首销5天目标</t>
    <phoneticPr fontId="1" type="noConversion"/>
  </si>
  <si>
    <t>首销日达成</t>
    <phoneticPr fontId="1" type="noConversion"/>
  </si>
  <si>
    <t>首销日达成率</t>
    <phoneticPr fontId="1" type="noConversion"/>
  </si>
  <si>
    <t>云南九机电子产品有限公司</t>
  </si>
  <si>
    <t>曲靖沾益联鸿通讯有限公司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</si>
</sst>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_ "/>
  </numFmts>
  <fonts count="1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sz val="10"/>
      <color indexed="8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1"/>
      <color theme="1"/>
      <name val="宋体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5117038483843"/>
      </patternFill>
    </fill>
    <fill>
      <patternFill patternType="solid">
        <fgColor rgb="FFC00000"/>
        <bgColor theme="4" tint="0.79995117038483843"/>
      </patternFill>
    </fill>
    <fill>
      <patternFill patternType="solid">
        <fgColor rgb="FF92D050"/>
        <bgColor theme="4" tint="0.79995117038483843"/>
      </patternFill>
    </fill>
    <fill>
      <patternFill patternType="solid">
        <fgColor rgb="FF00B0F0"/>
        <bgColor theme="4" tint="0.79995117038483843"/>
      </patternFill>
    </fill>
    <fill>
      <patternFill patternType="solid">
        <fgColor rgb="FFC00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C00000"/>
        <bgColor rgb="FF0000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9" fontId="10" fillId="0" borderId="0" applyFon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8" fillId="0" borderId="1" xfId="0" applyFont="1" applyBorder="1">
      <alignment vertical="center"/>
    </xf>
    <xf numFmtId="0" fontId="6" fillId="9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10" fontId="8" fillId="0" borderId="1" xfId="1" applyNumberFormat="1" applyFont="1" applyBorder="1" applyAlignment="1">
      <alignment horizontal="center" vertical="center" wrapText="1"/>
    </xf>
    <xf numFmtId="10" fontId="5" fillId="2" borderId="1" xfId="1" applyNumberFormat="1" applyFont="1" applyFill="1" applyBorder="1" applyAlignment="1">
      <alignment horizontal="center" vertical="center" wrapText="1"/>
    </xf>
    <xf numFmtId="10" fontId="3" fillId="0" borderId="1" xfId="1" applyNumberFormat="1" applyFont="1" applyBorder="1" applyAlignment="1">
      <alignment horizontal="center" vertical="center" wrapText="1"/>
    </xf>
    <xf numFmtId="10" fontId="2" fillId="2" borderId="1" xfId="1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176" fontId="6" fillId="7" borderId="1" xfId="0" applyNumberFormat="1" applyFont="1" applyFill="1" applyBorder="1" applyAlignment="1">
      <alignment horizontal="center" vertical="center"/>
    </xf>
    <xf numFmtId="176" fontId="6" fillId="7" borderId="2" xfId="0" applyNumberFormat="1" applyFont="1" applyFill="1" applyBorder="1" applyAlignment="1">
      <alignment horizontal="center" vertical="center"/>
    </xf>
    <xf numFmtId="176" fontId="6" fillId="7" borderId="3" xfId="0" applyNumberFormat="1" applyFont="1" applyFill="1" applyBorder="1" applyAlignment="1">
      <alignment horizontal="center" vertical="center"/>
    </xf>
  </cellXfs>
  <cellStyles count="2">
    <cellStyle name="百分比" xfId="1" builtinId="5"/>
    <cellStyle name="常规" xfId="0" builtinId="0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 xr9:uid="{267968C8-6FFD-4C36-ACC1-9EA1FD1885CA}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0BAD6-630B-3E4A-AB71-C40B8BCE4601}">
  <dimension ref="A1:AJ35"/>
  <sheetViews>
    <sheetView tabSelected="1" zoomScale="75" workbookViewId="0">
      <selection activeCell="J44" sqref="J44"/>
    </sheetView>
  </sheetViews>
  <sheetFormatPr baseColWidth="10" defaultRowHeight="14"/>
  <cols>
    <col min="1" max="1" width="37.6640625" bestFit="1" customWidth="1"/>
    <col min="2" max="36" width="10.5" customWidth="1"/>
  </cols>
  <sheetData>
    <row r="1" spans="1:36" ht="126">
      <c r="A1" s="4" t="s">
        <v>47</v>
      </c>
      <c r="B1" s="4" t="s">
        <v>50</v>
      </c>
      <c r="C1" s="4" t="s">
        <v>49</v>
      </c>
      <c r="D1" s="4" t="s">
        <v>51</v>
      </c>
      <c r="E1" s="5" t="s">
        <v>52</v>
      </c>
      <c r="F1" s="5" t="s">
        <v>58</v>
      </c>
      <c r="G1" s="5" t="s">
        <v>59</v>
      </c>
      <c r="H1" s="5" t="s">
        <v>53</v>
      </c>
      <c r="I1" s="5" t="s">
        <v>60</v>
      </c>
      <c r="J1" s="5" t="s">
        <v>61</v>
      </c>
      <c r="K1" s="5" t="s">
        <v>54</v>
      </c>
      <c r="L1" s="5" t="s">
        <v>62</v>
      </c>
      <c r="M1" s="5" t="s">
        <v>63</v>
      </c>
      <c r="N1" s="6" t="s">
        <v>55</v>
      </c>
      <c r="O1" s="6" t="s">
        <v>64</v>
      </c>
      <c r="P1" s="6" t="s">
        <v>65</v>
      </c>
      <c r="Q1" s="6" t="s">
        <v>56</v>
      </c>
      <c r="R1" s="6" t="s">
        <v>66</v>
      </c>
      <c r="S1" s="6" t="s">
        <v>67</v>
      </c>
      <c r="T1" s="6" t="s">
        <v>57</v>
      </c>
      <c r="U1" s="6" t="s">
        <v>68</v>
      </c>
      <c r="V1" s="6" t="s">
        <v>69</v>
      </c>
      <c r="W1" s="4" t="s">
        <v>9</v>
      </c>
      <c r="X1" s="4" t="s">
        <v>2</v>
      </c>
      <c r="Y1" s="4" t="s">
        <v>4</v>
      </c>
      <c r="Z1" s="4" t="s">
        <v>1</v>
      </c>
      <c r="AA1" s="4" t="s">
        <v>0</v>
      </c>
      <c r="AB1" s="4" t="s">
        <v>45</v>
      </c>
      <c r="AC1" s="4" t="s">
        <v>7</v>
      </c>
      <c r="AD1" s="4" t="s">
        <v>5</v>
      </c>
      <c r="AE1" s="4" t="s">
        <v>6</v>
      </c>
      <c r="AF1" s="4" t="s">
        <v>3</v>
      </c>
      <c r="AG1" s="4" t="s">
        <v>11</v>
      </c>
      <c r="AH1" s="4" t="s">
        <v>10</v>
      </c>
      <c r="AI1" s="4" t="s">
        <v>8</v>
      </c>
      <c r="AJ1" s="4" t="s">
        <v>46</v>
      </c>
    </row>
    <row r="2" spans="1:36" ht="18">
      <c r="A2" s="1" t="s">
        <v>23</v>
      </c>
      <c r="B2" s="3">
        <v>74</v>
      </c>
      <c r="C2" s="3">
        <v>80</v>
      </c>
      <c r="D2" s="3">
        <v>154</v>
      </c>
      <c r="E2" s="1">
        <v>14</v>
      </c>
      <c r="F2" s="1"/>
      <c r="G2" s="18">
        <f>F2/E2</f>
        <v>0</v>
      </c>
      <c r="H2" s="1">
        <v>14</v>
      </c>
      <c r="I2" s="1"/>
      <c r="J2" s="18">
        <f>I2/H2</f>
        <v>0</v>
      </c>
      <c r="K2" s="1">
        <v>32</v>
      </c>
      <c r="L2" s="1"/>
      <c r="M2" s="18">
        <f>L2/K2</f>
        <v>0</v>
      </c>
      <c r="N2" s="1">
        <v>14</v>
      </c>
      <c r="O2" s="1"/>
      <c r="P2" s="18">
        <f>O2/N2</f>
        <v>0</v>
      </c>
      <c r="Q2" s="1">
        <v>14</v>
      </c>
      <c r="R2" s="1"/>
      <c r="S2" s="18">
        <f>R2/Q2</f>
        <v>0</v>
      </c>
      <c r="T2" s="1">
        <v>32</v>
      </c>
      <c r="U2" s="1"/>
      <c r="V2" s="18">
        <f>U2/T2</f>
        <v>0</v>
      </c>
      <c r="W2" s="1">
        <v>3</v>
      </c>
      <c r="X2" s="1">
        <v>15</v>
      </c>
      <c r="Y2" s="1">
        <v>2</v>
      </c>
      <c r="Z2" s="1">
        <v>10</v>
      </c>
      <c r="AA2" s="1">
        <v>30</v>
      </c>
      <c r="AB2" s="1">
        <v>14</v>
      </c>
      <c r="AC2" s="1">
        <v>5</v>
      </c>
      <c r="AD2" s="1">
        <v>15</v>
      </c>
      <c r="AE2" s="1">
        <v>10</v>
      </c>
      <c r="AF2" s="1">
        <v>25</v>
      </c>
      <c r="AG2" s="1">
        <v>4</v>
      </c>
      <c r="AH2" s="1">
        <v>4</v>
      </c>
      <c r="AI2" s="1">
        <v>5</v>
      </c>
      <c r="AJ2" s="1">
        <v>12</v>
      </c>
    </row>
    <row r="3" spans="1:36" ht="18">
      <c r="A3" s="1" t="s">
        <v>14</v>
      </c>
      <c r="B3" s="3">
        <v>18</v>
      </c>
      <c r="C3" s="3">
        <v>26</v>
      </c>
      <c r="D3" s="3">
        <v>44</v>
      </c>
      <c r="E3" s="1">
        <v>9</v>
      </c>
      <c r="F3" s="1"/>
      <c r="G3" s="18">
        <f t="shared" ref="G3:G35" si="0">F3/E3</f>
        <v>0</v>
      </c>
      <c r="H3" s="1">
        <v>8</v>
      </c>
      <c r="I3" s="1"/>
      <c r="J3" s="18">
        <f t="shared" ref="J3:J35" si="1">I3/H3</f>
        <v>0</v>
      </c>
      <c r="K3" s="1">
        <v>18</v>
      </c>
      <c r="L3" s="1"/>
      <c r="M3" s="18">
        <f t="shared" ref="M3:M35" si="2">L3/K3</f>
        <v>0</v>
      </c>
      <c r="N3" s="1">
        <v>9</v>
      </c>
      <c r="O3" s="1"/>
      <c r="P3" s="18">
        <f t="shared" ref="P3:P35" si="3">O3/N3</f>
        <v>0</v>
      </c>
      <c r="Q3" s="1">
        <v>8</v>
      </c>
      <c r="R3" s="1"/>
      <c r="S3" s="18">
        <f t="shared" ref="S3:S35" si="4">R3/Q3</f>
        <v>0</v>
      </c>
      <c r="T3" s="1">
        <v>18</v>
      </c>
      <c r="U3" s="1"/>
      <c r="V3" s="18">
        <f t="shared" ref="V3:V35" si="5">U3/T3</f>
        <v>0</v>
      </c>
      <c r="W3" s="1">
        <v>2</v>
      </c>
      <c r="X3" s="1">
        <v>2</v>
      </c>
      <c r="Y3" s="1">
        <v>1</v>
      </c>
      <c r="Z3" s="1">
        <v>4</v>
      </c>
      <c r="AA3" s="1">
        <v>7</v>
      </c>
      <c r="AB3" s="1">
        <v>2</v>
      </c>
      <c r="AC3" s="1">
        <v>2</v>
      </c>
      <c r="AD3" s="1">
        <v>5</v>
      </c>
      <c r="AE3" s="1">
        <v>5</v>
      </c>
      <c r="AF3" s="1">
        <v>7</v>
      </c>
      <c r="AG3" s="1">
        <v>2</v>
      </c>
      <c r="AH3" s="1">
        <v>2</v>
      </c>
      <c r="AI3" s="1">
        <v>2</v>
      </c>
      <c r="AJ3" s="1">
        <v>1</v>
      </c>
    </row>
    <row r="4" spans="1:36" ht="18">
      <c r="A4" s="1" t="s">
        <v>21</v>
      </c>
      <c r="B4" s="3">
        <v>16</v>
      </c>
      <c r="C4" s="3">
        <v>26</v>
      </c>
      <c r="D4" s="3">
        <v>42</v>
      </c>
      <c r="E4" s="1">
        <v>2</v>
      </c>
      <c r="F4" s="1"/>
      <c r="G4" s="18">
        <f t="shared" si="0"/>
        <v>0</v>
      </c>
      <c r="H4" s="1">
        <v>2</v>
      </c>
      <c r="I4" s="1"/>
      <c r="J4" s="18">
        <f t="shared" si="1"/>
        <v>0</v>
      </c>
      <c r="K4" s="1">
        <v>5</v>
      </c>
      <c r="L4" s="1"/>
      <c r="M4" s="18">
        <f t="shared" si="2"/>
        <v>0</v>
      </c>
      <c r="N4" s="1">
        <v>2</v>
      </c>
      <c r="O4" s="1"/>
      <c r="P4" s="18">
        <f t="shared" si="3"/>
        <v>0</v>
      </c>
      <c r="Q4" s="1">
        <v>2</v>
      </c>
      <c r="R4" s="1"/>
      <c r="S4" s="18">
        <f t="shared" si="4"/>
        <v>0</v>
      </c>
      <c r="T4" s="1">
        <v>5</v>
      </c>
      <c r="U4" s="1"/>
      <c r="V4" s="18">
        <f t="shared" si="5"/>
        <v>0</v>
      </c>
      <c r="W4" s="1">
        <v>2</v>
      </c>
      <c r="X4" s="1">
        <v>2</v>
      </c>
      <c r="Y4" s="1">
        <v>1</v>
      </c>
      <c r="Z4" s="1">
        <v>4</v>
      </c>
      <c r="AA4" s="1">
        <v>5</v>
      </c>
      <c r="AB4" s="1">
        <v>2</v>
      </c>
      <c r="AC4" s="1">
        <v>2</v>
      </c>
      <c r="AD4" s="1">
        <v>6</v>
      </c>
      <c r="AE4" s="1">
        <v>5</v>
      </c>
      <c r="AF4" s="1">
        <v>7</v>
      </c>
      <c r="AG4" s="1">
        <v>1</v>
      </c>
      <c r="AH4" s="1">
        <v>1</v>
      </c>
      <c r="AI4" s="1">
        <v>2</v>
      </c>
      <c r="AJ4" s="1">
        <v>2</v>
      </c>
    </row>
    <row r="5" spans="1:36" ht="18">
      <c r="A5" s="1" t="s">
        <v>42</v>
      </c>
      <c r="B5" s="3">
        <v>10</v>
      </c>
      <c r="C5" s="3">
        <v>0</v>
      </c>
      <c r="D5" s="3">
        <v>10</v>
      </c>
      <c r="E5" s="1">
        <v>0</v>
      </c>
      <c r="F5" s="1"/>
      <c r="G5" s="18" t="e">
        <f t="shared" si="0"/>
        <v>#DIV/0!</v>
      </c>
      <c r="H5" s="1">
        <v>1</v>
      </c>
      <c r="I5" s="1"/>
      <c r="J5" s="18">
        <f t="shared" si="1"/>
        <v>0</v>
      </c>
      <c r="K5" s="1">
        <v>1</v>
      </c>
      <c r="L5" s="1"/>
      <c r="M5" s="18">
        <f t="shared" si="2"/>
        <v>0</v>
      </c>
      <c r="N5" s="1">
        <v>0</v>
      </c>
      <c r="O5" s="1"/>
      <c r="P5" s="18" t="e">
        <f t="shared" si="3"/>
        <v>#DIV/0!</v>
      </c>
      <c r="Q5" s="1">
        <v>1</v>
      </c>
      <c r="R5" s="1"/>
      <c r="S5" s="18">
        <f t="shared" si="4"/>
        <v>0</v>
      </c>
      <c r="T5" s="1">
        <v>1</v>
      </c>
      <c r="U5" s="1"/>
      <c r="V5" s="18">
        <f t="shared" si="5"/>
        <v>0</v>
      </c>
      <c r="W5" s="1"/>
      <c r="X5" s="1">
        <v>5</v>
      </c>
      <c r="Y5" s="1"/>
      <c r="Z5" s="1">
        <v>2</v>
      </c>
      <c r="AA5" s="1">
        <v>3</v>
      </c>
      <c r="AB5" s="1"/>
      <c r="AC5" s="1"/>
      <c r="AD5" s="1"/>
      <c r="AE5" s="1"/>
      <c r="AF5" s="1"/>
      <c r="AG5" s="1"/>
      <c r="AH5" s="1"/>
      <c r="AI5" s="1"/>
      <c r="AJ5" s="1"/>
    </row>
    <row r="6" spans="1:36" ht="18">
      <c r="A6" s="1" t="s">
        <v>26</v>
      </c>
      <c r="B6" s="3">
        <v>5</v>
      </c>
      <c r="C6" s="3">
        <v>4</v>
      </c>
      <c r="D6" s="3">
        <v>9</v>
      </c>
      <c r="E6" s="1">
        <v>0</v>
      </c>
      <c r="F6" s="1"/>
      <c r="G6" s="18" t="e">
        <f t="shared" si="0"/>
        <v>#DIV/0!</v>
      </c>
      <c r="H6" s="1">
        <v>1</v>
      </c>
      <c r="I6" s="1"/>
      <c r="J6" s="18">
        <f t="shared" si="1"/>
        <v>0</v>
      </c>
      <c r="K6" s="1">
        <v>1</v>
      </c>
      <c r="L6" s="1"/>
      <c r="M6" s="18">
        <f t="shared" si="2"/>
        <v>0</v>
      </c>
      <c r="N6" s="1">
        <v>0</v>
      </c>
      <c r="O6" s="1"/>
      <c r="P6" s="18" t="e">
        <f t="shared" si="3"/>
        <v>#DIV/0!</v>
      </c>
      <c r="Q6" s="1">
        <v>1</v>
      </c>
      <c r="R6" s="1"/>
      <c r="S6" s="18">
        <f t="shared" si="4"/>
        <v>0</v>
      </c>
      <c r="T6" s="1">
        <v>1</v>
      </c>
      <c r="U6" s="1"/>
      <c r="V6" s="18">
        <f t="shared" si="5"/>
        <v>0</v>
      </c>
      <c r="W6" s="1"/>
      <c r="X6" s="1"/>
      <c r="Y6" s="1"/>
      <c r="Z6" s="1">
        <v>2</v>
      </c>
      <c r="AA6" s="1">
        <v>3</v>
      </c>
      <c r="AB6" s="1"/>
      <c r="AC6" s="1"/>
      <c r="AD6" s="1">
        <v>1</v>
      </c>
      <c r="AE6" s="1"/>
      <c r="AF6" s="1">
        <v>1</v>
      </c>
      <c r="AG6" s="1">
        <v>1</v>
      </c>
      <c r="AH6" s="1"/>
      <c r="AI6" s="1"/>
      <c r="AJ6" s="1">
        <v>1</v>
      </c>
    </row>
    <row r="7" spans="1:36" ht="18">
      <c r="A7" s="1" t="s">
        <v>28</v>
      </c>
      <c r="B7" s="3">
        <v>2</v>
      </c>
      <c r="C7" s="3">
        <v>6</v>
      </c>
      <c r="D7" s="3">
        <v>8</v>
      </c>
      <c r="E7" s="1">
        <v>0</v>
      </c>
      <c r="F7" s="1"/>
      <c r="G7" s="18" t="e">
        <f t="shared" si="0"/>
        <v>#DIV/0!</v>
      </c>
      <c r="H7" s="1">
        <v>1</v>
      </c>
      <c r="I7" s="1"/>
      <c r="J7" s="18">
        <f t="shared" si="1"/>
        <v>0</v>
      </c>
      <c r="K7" s="1">
        <v>1</v>
      </c>
      <c r="L7" s="1"/>
      <c r="M7" s="18">
        <f t="shared" si="2"/>
        <v>0</v>
      </c>
      <c r="N7" s="1">
        <v>0</v>
      </c>
      <c r="O7" s="1"/>
      <c r="P7" s="18" t="e">
        <f t="shared" si="3"/>
        <v>#DIV/0!</v>
      </c>
      <c r="Q7" s="1">
        <v>1</v>
      </c>
      <c r="R7" s="1"/>
      <c r="S7" s="18">
        <f t="shared" si="4"/>
        <v>0</v>
      </c>
      <c r="T7" s="1">
        <v>1</v>
      </c>
      <c r="U7" s="1"/>
      <c r="V7" s="18">
        <f t="shared" si="5"/>
        <v>0</v>
      </c>
      <c r="W7" s="1"/>
      <c r="X7" s="1">
        <v>1</v>
      </c>
      <c r="Y7" s="1"/>
      <c r="Z7" s="1"/>
      <c r="AA7" s="1"/>
      <c r="AB7" s="1">
        <v>1</v>
      </c>
      <c r="AC7" s="1">
        <v>1</v>
      </c>
      <c r="AD7" s="1"/>
      <c r="AE7" s="1">
        <v>1</v>
      </c>
      <c r="AF7" s="1">
        <v>1</v>
      </c>
      <c r="AG7" s="1">
        <v>1</v>
      </c>
      <c r="AH7" s="1"/>
      <c r="AI7" s="1">
        <v>1</v>
      </c>
      <c r="AJ7" s="1">
        <v>1</v>
      </c>
    </row>
    <row r="8" spans="1:36" ht="18">
      <c r="A8" s="1" t="s">
        <v>13</v>
      </c>
      <c r="B8" s="3">
        <v>3</v>
      </c>
      <c r="C8" s="3">
        <v>3</v>
      </c>
      <c r="D8" s="3">
        <v>6</v>
      </c>
      <c r="E8" s="1">
        <v>0</v>
      </c>
      <c r="F8" s="1"/>
      <c r="G8" s="18" t="e">
        <f t="shared" si="0"/>
        <v>#DIV/0!</v>
      </c>
      <c r="H8" s="1">
        <v>1</v>
      </c>
      <c r="I8" s="1"/>
      <c r="J8" s="18">
        <f t="shared" si="1"/>
        <v>0</v>
      </c>
      <c r="K8" s="1">
        <v>1</v>
      </c>
      <c r="L8" s="1"/>
      <c r="M8" s="18">
        <f t="shared" si="2"/>
        <v>0</v>
      </c>
      <c r="N8" s="1">
        <v>0</v>
      </c>
      <c r="O8" s="1"/>
      <c r="P8" s="18" t="e">
        <f t="shared" si="3"/>
        <v>#DIV/0!</v>
      </c>
      <c r="Q8" s="1">
        <v>1</v>
      </c>
      <c r="R8" s="1"/>
      <c r="S8" s="18">
        <f t="shared" si="4"/>
        <v>0</v>
      </c>
      <c r="T8" s="1">
        <v>1</v>
      </c>
      <c r="U8" s="1"/>
      <c r="V8" s="18">
        <f t="shared" si="5"/>
        <v>0</v>
      </c>
      <c r="W8" s="1"/>
      <c r="X8" s="1"/>
      <c r="Y8" s="1">
        <v>0</v>
      </c>
      <c r="Z8" s="1">
        <v>1</v>
      </c>
      <c r="AA8" s="1">
        <v>2</v>
      </c>
      <c r="AB8" s="1"/>
      <c r="AC8" s="1">
        <v>1</v>
      </c>
      <c r="AD8" s="1">
        <v>1</v>
      </c>
      <c r="AE8" s="1"/>
      <c r="AF8" s="1"/>
      <c r="AG8" s="1"/>
      <c r="AH8" s="1"/>
      <c r="AI8" s="1"/>
      <c r="AJ8" s="1">
        <v>1</v>
      </c>
    </row>
    <row r="9" spans="1:36" ht="18">
      <c r="A9" s="1" t="s">
        <v>31</v>
      </c>
      <c r="B9" s="3">
        <v>3</v>
      </c>
      <c r="C9" s="3">
        <v>3</v>
      </c>
      <c r="D9" s="3">
        <v>6</v>
      </c>
      <c r="E9" s="1">
        <v>0</v>
      </c>
      <c r="F9" s="1"/>
      <c r="G9" s="18" t="e">
        <f t="shared" si="0"/>
        <v>#DIV/0!</v>
      </c>
      <c r="H9" s="1">
        <v>1</v>
      </c>
      <c r="I9" s="1"/>
      <c r="J9" s="18">
        <f t="shared" si="1"/>
        <v>0</v>
      </c>
      <c r="K9" s="1">
        <v>1</v>
      </c>
      <c r="L9" s="1"/>
      <c r="M9" s="18">
        <f t="shared" si="2"/>
        <v>0</v>
      </c>
      <c r="N9" s="1">
        <v>0</v>
      </c>
      <c r="O9" s="1"/>
      <c r="P9" s="18" t="e">
        <f t="shared" si="3"/>
        <v>#DIV/0!</v>
      </c>
      <c r="Q9" s="1">
        <v>1</v>
      </c>
      <c r="R9" s="1"/>
      <c r="S9" s="18">
        <f t="shared" si="4"/>
        <v>0</v>
      </c>
      <c r="T9" s="1">
        <v>1</v>
      </c>
      <c r="U9" s="1"/>
      <c r="V9" s="18">
        <f t="shared" si="5"/>
        <v>0</v>
      </c>
      <c r="W9" s="1"/>
      <c r="X9" s="1"/>
      <c r="Y9" s="1"/>
      <c r="Z9" s="1">
        <v>1</v>
      </c>
      <c r="AA9" s="1">
        <v>2</v>
      </c>
      <c r="AB9" s="1"/>
      <c r="AC9" s="1"/>
      <c r="AD9" s="1">
        <v>2</v>
      </c>
      <c r="AE9" s="1">
        <v>1</v>
      </c>
      <c r="AF9" s="1"/>
      <c r="AG9" s="1"/>
      <c r="AH9" s="1"/>
      <c r="AI9" s="1"/>
      <c r="AJ9" s="1"/>
    </row>
    <row r="10" spans="1:36" ht="18">
      <c r="A10" s="1" t="s">
        <v>24</v>
      </c>
      <c r="B10" s="3">
        <v>3</v>
      </c>
      <c r="C10" s="3">
        <v>3</v>
      </c>
      <c r="D10" s="3">
        <v>6</v>
      </c>
      <c r="E10" s="1">
        <v>0</v>
      </c>
      <c r="F10" s="1"/>
      <c r="G10" s="18" t="e">
        <f t="shared" si="0"/>
        <v>#DIV/0!</v>
      </c>
      <c r="H10" s="1">
        <v>1</v>
      </c>
      <c r="I10" s="1"/>
      <c r="J10" s="18">
        <f t="shared" si="1"/>
        <v>0</v>
      </c>
      <c r="K10" s="1">
        <v>1</v>
      </c>
      <c r="L10" s="1"/>
      <c r="M10" s="18">
        <f t="shared" si="2"/>
        <v>0</v>
      </c>
      <c r="N10" s="1">
        <v>0</v>
      </c>
      <c r="O10" s="1"/>
      <c r="P10" s="18" t="e">
        <f t="shared" si="3"/>
        <v>#DIV/0!</v>
      </c>
      <c r="Q10" s="1">
        <v>1</v>
      </c>
      <c r="R10" s="1"/>
      <c r="S10" s="18">
        <f t="shared" si="4"/>
        <v>0</v>
      </c>
      <c r="T10" s="1">
        <v>1</v>
      </c>
      <c r="U10" s="1"/>
      <c r="V10" s="18">
        <f t="shared" si="5"/>
        <v>0</v>
      </c>
      <c r="W10" s="1">
        <v>1</v>
      </c>
      <c r="X10" s="1"/>
      <c r="Y10" s="1"/>
      <c r="Z10" s="1">
        <v>1</v>
      </c>
      <c r="AA10" s="1">
        <v>1</v>
      </c>
      <c r="AB10" s="1"/>
      <c r="AC10" s="1"/>
      <c r="AD10" s="1">
        <v>1</v>
      </c>
      <c r="AE10" s="1"/>
      <c r="AF10" s="1">
        <v>1</v>
      </c>
      <c r="AG10" s="1"/>
      <c r="AH10" s="1"/>
      <c r="AI10" s="1"/>
      <c r="AJ10" s="1">
        <v>1</v>
      </c>
    </row>
    <row r="11" spans="1:36" ht="18">
      <c r="A11" s="1" t="s">
        <v>17</v>
      </c>
      <c r="B11" s="3">
        <v>1</v>
      </c>
      <c r="C11" s="3">
        <v>5</v>
      </c>
      <c r="D11" s="3">
        <v>6</v>
      </c>
      <c r="E11" s="1">
        <v>0</v>
      </c>
      <c r="F11" s="1"/>
      <c r="G11" s="18" t="e">
        <f t="shared" si="0"/>
        <v>#DIV/0!</v>
      </c>
      <c r="H11" s="1">
        <v>1</v>
      </c>
      <c r="I11" s="1"/>
      <c r="J11" s="18">
        <f t="shared" si="1"/>
        <v>0</v>
      </c>
      <c r="K11" s="1">
        <v>1</v>
      </c>
      <c r="L11" s="1"/>
      <c r="M11" s="18">
        <f t="shared" si="2"/>
        <v>0</v>
      </c>
      <c r="N11" s="1">
        <v>0</v>
      </c>
      <c r="O11" s="1"/>
      <c r="P11" s="18" t="e">
        <f t="shared" si="3"/>
        <v>#DIV/0!</v>
      </c>
      <c r="Q11" s="1">
        <v>1</v>
      </c>
      <c r="R11" s="1"/>
      <c r="S11" s="18">
        <f t="shared" si="4"/>
        <v>0</v>
      </c>
      <c r="T11" s="1">
        <v>1</v>
      </c>
      <c r="U11" s="1"/>
      <c r="V11" s="18">
        <f t="shared" si="5"/>
        <v>0</v>
      </c>
      <c r="W11" s="1"/>
      <c r="X11" s="1"/>
      <c r="Y11" s="1"/>
      <c r="Z11" s="1"/>
      <c r="AA11" s="1">
        <v>1</v>
      </c>
      <c r="AB11" s="1"/>
      <c r="AC11" s="1">
        <v>2</v>
      </c>
      <c r="AD11" s="1">
        <v>1</v>
      </c>
      <c r="AE11" s="1"/>
      <c r="AF11" s="1">
        <v>1</v>
      </c>
      <c r="AG11" s="1"/>
      <c r="AH11" s="1"/>
      <c r="AI11" s="1">
        <v>1</v>
      </c>
      <c r="AJ11" s="1"/>
    </row>
    <row r="12" spans="1:36" ht="18">
      <c r="A12" s="1" t="s">
        <v>40</v>
      </c>
      <c r="B12" s="3">
        <v>3</v>
      </c>
      <c r="C12" s="3">
        <v>3</v>
      </c>
      <c r="D12" s="3">
        <v>6</v>
      </c>
      <c r="E12" s="1">
        <v>0</v>
      </c>
      <c r="F12" s="1"/>
      <c r="G12" s="18" t="e">
        <f t="shared" si="0"/>
        <v>#DIV/0!</v>
      </c>
      <c r="H12" s="1">
        <v>1</v>
      </c>
      <c r="I12" s="1"/>
      <c r="J12" s="18">
        <f t="shared" si="1"/>
        <v>0</v>
      </c>
      <c r="K12" s="1">
        <v>1</v>
      </c>
      <c r="L12" s="1"/>
      <c r="M12" s="18">
        <f t="shared" si="2"/>
        <v>0</v>
      </c>
      <c r="N12" s="1">
        <v>0</v>
      </c>
      <c r="O12" s="1"/>
      <c r="P12" s="18" t="e">
        <f t="shared" si="3"/>
        <v>#DIV/0!</v>
      </c>
      <c r="Q12" s="1">
        <v>1</v>
      </c>
      <c r="R12" s="1"/>
      <c r="S12" s="18">
        <f t="shared" si="4"/>
        <v>0</v>
      </c>
      <c r="T12" s="1">
        <v>1</v>
      </c>
      <c r="U12" s="1"/>
      <c r="V12" s="18">
        <f t="shared" si="5"/>
        <v>0</v>
      </c>
      <c r="W12" s="1"/>
      <c r="X12" s="1"/>
      <c r="Y12" s="1"/>
      <c r="Z12" s="1">
        <v>1</v>
      </c>
      <c r="AA12" s="1">
        <v>2</v>
      </c>
      <c r="AB12" s="1"/>
      <c r="AC12" s="1"/>
      <c r="AD12" s="1">
        <v>2</v>
      </c>
      <c r="AE12" s="1"/>
      <c r="AF12" s="1">
        <v>1</v>
      </c>
      <c r="AG12" s="1"/>
      <c r="AH12" s="1"/>
      <c r="AI12" s="1"/>
      <c r="AJ12" s="1"/>
    </row>
    <row r="13" spans="1:36" ht="18">
      <c r="A13" s="1" t="s">
        <v>12</v>
      </c>
      <c r="B13" s="3">
        <v>2</v>
      </c>
      <c r="C13" s="3">
        <v>3</v>
      </c>
      <c r="D13" s="3">
        <v>5</v>
      </c>
      <c r="E13" s="1">
        <v>0</v>
      </c>
      <c r="F13" s="1"/>
      <c r="G13" s="18" t="e">
        <f t="shared" si="0"/>
        <v>#DIV/0!</v>
      </c>
      <c r="H13" s="1">
        <v>1</v>
      </c>
      <c r="I13" s="1"/>
      <c r="J13" s="18">
        <f t="shared" si="1"/>
        <v>0</v>
      </c>
      <c r="K13" s="1">
        <v>1</v>
      </c>
      <c r="L13" s="1"/>
      <c r="M13" s="18">
        <f t="shared" si="2"/>
        <v>0</v>
      </c>
      <c r="N13" s="1">
        <v>0</v>
      </c>
      <c r="O13" s="1"/>
      <c r="P13" s="18" t="e">
        <f t="shared" si="3"/>
        <v>#DIV/0!</v>
      </c>
      <c r="Q13" s="1">
        <v>1</v>
      </c>
      <c r="R13" s="1"/>
      <c r="S13" s="18">
        <f t="shared" si="4"/>
        <v>0</v>
      </c>
      <c r="T13" s="1">
        <v>1</v>
      </c>
      <c r="U13" s="1"/>
      <c r="V13" s="18">
        <f t="shared" si="5"/>
        <v>0</v>
      </c>
      <c r="W13" s="1"/>
      <c r="X13" s="1"/>
      <c r="Y13" s="1"/>
      <c r="Z13" s="1"/>
      <c r="AA13" s="1">
        <v>2</v>
      </c>
      <c r="AB13" s="1"/>
      <c r="AC13" s="1"/>
      <c r="AD13" s="1">
        <v>1</v>
      </c>
      <c r="AE13" s="1"/>
      <c r="AF13" s="1"/>
      <c r="AG13" s="1"/>
      <c r="AH13" s="1"/>
      <c r="AI13" s="1">
        <v>1</v>
      </c>
      <c r="AJ13" s="1">
        <v>1</v>
      </c>
    </row>
    <row r="14" spans="1:36" ht="18">
      <c r="A14" s="1" t="s">
        <v>22</v>
      </c>
      <c r="B14" s="3">
        <v>2</v>
      </c>
      <c r="C14" s="3">
        <v>3</v>
      </c>
      <c r="D14" s="3">
        <v>5</v>
      </c>
      <c r="E14" s="1">
        <v>0</v>
      </c>
      <c r="F14" s="1"/>
      <c r="G14" s="18" t="e">
        <f t="shared" si="0"/>
        <v>#DIV/0!</v>
      </c>
      <c r="H14" s="1">
        <v>1</v>
      </c>
      <c r="I14" s="1"/>
      <c r="J14" s="18">
        <f t="shared" si="1"/>
        <v>0</v>
      </c>
      <c r="K14" s="1">
        <v>1</v>
      </c>
      <c r="L14" s="1"/>
      <c r="M14" s="18">
        <f t="shared" si="2"/>
        <v>0</v>
      </c>
      <c r="N14" s="1">
        <v>0</v>
      </c>
      <c r="O14" s="1"/>
      <c r="P14" s="18" t="e">
        <f t="shared" si="3"/>
        <v>#DIV/0!</v>
      </c>
      <c r="Q14" s="1">
        <v>1</v>
      </c>
      <c r="R14" s="1"/>
      <c r="S14" s="18">
        <f t="shared" si="4"/>
        <v>0</v>
      </c>
      <c r="T14" s="1">
        <v>1</v>
      </c>
      <c r="U14" s="1"/>
      <c r="V14" s="18">
        <f t="shared" si="5"/>
        <v>0</v>
      </c>
      <c r="W14" s="1"/>
      <c r="X14" s="1">
        <v>1</v>
      </c>
      <c r="Y14" s="1"/>
      <c r="Z14" s="1"/>
      <c r="AA14" s="1">
        <v>1</v>
      </c>
      <c r="AB14" s="1"/>
      <c r="AC14" s="1"/>
      <c r="AD14" s="1"/>
      <c r="AE14" s="1"/>
      <c r="AF14" s="1"/>
      <c r="AG14" s="1">
        <v>1</v>
      </c>
      <c r="AH14" s="1">
        <v>1</v>
      </c>
      <c r="AI14" s="1"/>
      <c r="AJ14" s="1">
        <v>1</v>
      </c>
    </row>
    <row r="15" spans="1:36" ht="18">
      <c r="A15" s="1" t="s">
        <v>39</v>
      </c>
      <c r="B15" s="3">
        <v>1</v>
      </c>
      <c r="C15" s="3">
        <v>4</v>
      </c>
      <c r="D15" s="3">
        <v>5</v>
      </c>
      <c r="E15" s="1">
        <v>0</v>
      </c>
      <c r="F15" s="1"/>
      <c r="G15" s="18" t="e">
        <f t="shared" si="0"/>
        <v>#DIV/0!</v>
      </c>
      <c r="H15" s="1">
        <v>1</v>
      </c>
      <c r="I15" s="1"/>
      <c r="J15" s="18">
        <f t="shared" si="1"/>
        <v>0</v>
      </c>
      <c r="K15" s="1">
        <v>1</v>
      </c>
      <c r="L15" s="1"/>
      <c r="M15" s="18">
        <f t="shared" si="2"/>
        <v>0</v>
      </c>
      <c r="N15" s="1">
        <v>0</v>
      </c>
      <c r="O15" s="1"/>
      <c r="P15" s="18" t="e">
        <f t="shared" si="3"/>
        <v>#DIV/0!</v>
      </c>
      <c r="Q15" s="1">
        <v>1</v>
      </c>
      <c r="R15" s="1"/>
      <c r="S15" s="18">
        <f t="shared" si="4"/>
        <v>0</v>
      </c>
      <c r="T15" s="1">
        <v>1</v>
      </c>
      <c r="U15" s="1"/>
      <c r="V15" s="18">
        <f t="shared" si="5"/>
        <v>0</v>
      </c>
      <c r="W15" s="1"/>
      <c r="X15" s="1"/>
      <c r="Y15" s="1"/>
      <c r="Z15" s="1"/>
      <c r="AA15" s="1">
        <v>1</v>
      </c>
      <c r="AB15" s="1"/>
      <c r="AC15" s="1"/>
      <c r="AD15" s="1">
        <v>2</v>
      </c>
      <c r="AE15" s="1"/>
      <c r="AF15" s="1">
        <v>1</v>
      </c>
      <c r="AG15" s="1"/>
      <c r="AH15" s="1"/>
      <c r="AI15" s="1"/>
      <c r="AJ15" s="1">
        <v>1</v>
      </c>
    </row>
    <row r="16" spans="1:36" ht="18">
      <c r="A16" s="1" t="s">
        <v>41</v>
      </c>
      <c r="B16" s="3">
        <v>2</v>
      </c>
      <c r="C16" s="3">
        <v>3</v>
      </c>
      <c r="D16" s="3">
        <v>5</v>
      </c>
      <c r="E16" s="1">
        <v>0</v>
      </c>
      <c r="F16" s="1"/>
      <c r="G16" s="18" t="e">
        <f t="shared" si="0"/>
        <v>#DIV/0!</v>
      </c>
      <c r="H16" s="1">
        <v>1</v>
      </c>
      <c r="I16" s="1"/>
      <c r="J16" s="18">
        <f t="shared" si="1"/>
        <v>0</v>
      </c>
      <c r="K16" s="1">
        <v>1</v>
      </c>
      <c r="L16" s="1"/>
      <c r="M16" s="18">
        <f t="shared" si="2"/>
        <v>0</v>
      </c>
      <c r="N16" s="1">
        <v>0</v>
      </c>
      <c r="O16" s="1"/>
      <c r="P16" s="18" t="e">
        <f t="shared" si="3"/>
        <v>#DIV/0!</v>
      </c>
      <c r="Q16" s="1">
        <v>1</v>
      </c>
      <c r="R16" s="1"/>
      <c r="S16" s="18">
        <f t="shared" si="4"/>
        <v>0</v>
      </c>
      <c r="T16" s="1">
        <v>1</v>
      </c>
      <c r="U16" s="1"/>
      <c r="V16" s="18">
        <f t="shared" si="5"/>
        <v>0</v>
      </c>
      <c r="W16" s="1"/>
      <c r="X16" s="1"/>
      <c r="Y16" s="1"/>
      <c r="Z16" s="1">
        <v>1</v>
      </c>
      <c r="AA16" s="1">
        <v>1</v>
      </c>
      <c r="AB16" s="1"/>
      <c r="AC16" s="1">
        <v>1</v>
      </c>
      <c r="AD16" s="1">
        <v>1</v>
      </c>
      <c r="AE16" s="1"/>
      <c r="AF16" s="1"/>
      <c r="AG16" s="1"/>
      <c r="AH16" s="1"/>
      <c r="AI16" s="1"/>
      <c r="AJ16" s="1">
        <v>1</v>
      </c>
    </row>
    <row r="17" spans="1:36" ht="18">
      <c r="A17" s="1" t="s">
        <v>32</v>
      </c>
      <c r="B17" s="3">
        <v>1</v>
      </c>
      <c r="C17" s="3">
        <v>3</v>
      </c>
      <c r="D17" s="3">
        <v>4</v>
      </c>
      <c r="E17" s="1">
        <v>0</v>
      </c>
      <c r="F17" s="1"/>
      <c r="G17" s="18" t="e">
        <f t="shared" si="0"/>
        <v>#DIV/0!</v>
      </c>
      <c r="H17" s="1">
        <v>1</v>
      </c>
      <c r="I17" s="1"/>
      <c r="J17" s="18">
        <f t="shared" si="1"/>
        <v>0</v>
      </c>
      <c r="K17" s="1">
        <v>1</v>
      </c>
      <c r="L17" s="1"/>
      <c r="M17" s="18">
        <f t="shared" si="2"/>
        <v>0</v>
      </c>
      <c r="N17" s="1">
        <v>0</v>
      </c>
      <c r="O17" s="1"/>
      <c r="P17" s="18" t="e">
        <f t="shared" si="3"/>
        <v>#DIV/0!</v>
      </c>
      <c r="Q17" s="1">
        <v>1</v>
      </c>
      <c r="R17" s="1"/>
      <c r="S17" s="18">
        <f t="shared" si="4"/>
        <v>0</v>
      </c>
      <c r="T17" s="1">
        <v>1</v>
      </c>
      <c r="U17" s="1"/>
      <c r="V17" s="18">
        <f t="shared" si="5"/>
        <v>0</v>
      </c>
      <c r="W17" s="1"/>
      <c r="X17" s="1"/>
      <c r="Y17" s="1"/>
      <c r="Z17" s="1"/>
      <c r="AA17" s="1">
        <v>1</v>
      </c>
      <c r="AB17" s="1"/>
      <c r="AC17" s="1"/>
      <c r="AD17" s="1"/>
      <c r="AE17" s="1"/>
      <c r="AF17" s="1">
        <v>1</v>
      </c>
      <c r="AG17" s="1"/>
      <c r="AH17" s="1">
        <v>2</v>
      </c>
      <c r="AI17" s="1"/>
      <c r="AJ17" s="1"/>
    </row>
    <row r="18" spans="1:36" ht="18">
      <c r="A18" s="1" t="s">
        <v>38</v>
      </c>
      <c r="B18" s="3">
        <v>1</v>
      </c>
      <c r="C18" s="3">
        <v>3</v>
      </c>
      <c r="D18" s="3">
        <v>4</v>
      </c>
      <c r="E18" s="1">
        <v>0</v>
      </c>
      <c r="F18" s="1"/>
      <c r="G18" s="18" t="e">
        <f t="shared" si="0"/>
        <v>#DIV/0!</v>
      </c>
      <c r="H18" s="1">
        <v>1</v>
      </c>
      <c r="I18" s="1"/>
      <c r="J18" s="18">
        <f t="shared" si="1"/>
        <v>0</v>
      </c>
      <c r="K18" s="1">
        <v>1</v>
      </c>
      <c r="L18" s="1"/>
      <c r="M18" s="18">
        <f t="shared" si="2"/>
        <v>0</v>
      </c>
      <c r="N18" s="1">
        <v>0</v>
      </c>
      <c r="O18" s="1"/>
      <c r="P18" s="18" t="e">
        <f t="shared" si="3"/>
        <v>#DIV/0!</v>
      </c>
      <c r="Q18" s="1">
        <v>1</v>
      </c>
      <c r="R18" s="1"/>
      <c r="S18" s="18">
        <f t="shared" si="4"/>
        <v>0</v>
      </c>
      <c r="T18" s="1">
        <v>1</v>
      </c>
      <c r="U18" s="1"/>
      <c r="V18" s="18">
        <f t="shared" si="5"/>
        <v>0</v>
      </c>
      <c r="W18" s="1"/>
      <c r="X18" s="1"/>
      <c r="Y18" s="1"/>
      <c r="Z18" s="1"/>
      <c r="AA18" s="1">
        <v>1</v>
      </c>
      <c r="AB18" s="1"/>
      <c r="AC18" s="1"/>
      <c r="AD18" s="1">
        <v>2</v>
      </c>
      <c r="AE18" s="1"/>
      <c r="AF18" s="1"/>
      <c r="AG18" s="1"/>
      <c r="AH18" s="1"/>
      <c r="AI18" s="1"/>
      <c r="AJ18" s="1">
        <v>1</v>
      </c>
    </row>
    <row r="19" spans="1:36" ht="18">
      <c r="A19" s="1" t="s">
        <v>27</v>
      </c>
      <c r="B19" s="3">
        <v>1</v>
      </c>
      <c r="C19" s="3">
        <v>3</v>
      </c>
      <c r="D19" s="3">
        <v>4</v>
      </c>
      <c r="E19" s="1">
        <v>0</v>
      </c>
      <c r="F19" s="1"/>
      <c r="G19" s="18" t="e">
        <f t="shared" si="0"/>
        <v>#DIV/0!</v>
      </c>
      <c r="H19" s="1">
        <v>1</v>
      </c>
      <c r="I19" s="1"/>
      <c r="J19" s="18">
        <f t="shared" si="1"/>
        <v>0</v>
      </c>
      <c r="K19" s="1">
        <v>1</v>
      </c>
      <c r="L19" s="1"/>
      <c r="M19" s="18">
        <f t="shared" si="2"/>
        <v>0</v>
      </c>
      <c r="N19" s="1">
        <v>0</v>
      </c>
      <c r="O19" s="1"/>
      <c r="P19" s="18" t="e">
        <f t="shared" si="3"/>
        <v>#DIV/0!</v>
      </c>
      <c r="Q19" s="1">
        <v>1</v>
      </c>
      <c r="R19" s="1"/>
      <c r="S19" s="18">
        <f t="shared" si="4"/>
        <v>0</v>
      </c>
      <c r="T19" s="1">
        <v>1</v>
      </c>
      <c r="U19" s="1"/>
      <c r="V19" s="18">
        <f t="shared" si="5"/>
        <v>0</v>
      </c>
      <c r="W19" s="1"/>
      <c r="X19" s="1"/>
      <c r="Y19" s="1"/>
      <c r="Z19" s="1"/>
      <c r="AA19" s="1">
        <v>1</v>
      </c>
      <c r="AB19" s="1"/>
      <c r="AC19" s="1"/>
      <c r="AD19" s="1">
        <v>1</v>
      </c>
      <c r="AE19" s="1">
        <v>1</v>
      </c>
      <c r="AF19" s="1">
        <v>1</v>
      </c>
      <c r="AG19" s="1"/>
      <c r="AH19" s="1"/>
      <c r="AI19" s="1"/>
      <c r="AJ19" s="1"/>
    </row>
    <row r="20" spans="1:36" ht="18">
      <c r="A20" s="1" t="s">
        <v>16</v>
      </c>
      <c r="B20" s="3">
        <v>3</v>
      </c>
      <c r="C20" s="3">
        <v>0</v>
      </c>
      <c r="D20" s="3">
        <v>3</v>
      </c>
      <c r="E20" s="1">
        <v>0</v>
      </c>
      <c r="F20" s="1"/>
      <c r="G20" s="18" t="e">
        <f t="shared" si="0"/>
        <v>#DIV/0!</v>
      </c>
      <c r="H20" s="1">
        <v>1</v>
      </c>
      <c r="I20" s="1"/>
      <c r="J20" s="18">
        <f t="shared" si="1"/>
        <v>0</v>
      </c>
      <c r="K20" s="1">
        <v>1</v>
      </c>
      <c r="L20" s="1"/>
      <c r="M20" s="18">
        <f t="shared" si="2"/>
        <v>0</v>
      </c>
      <c r="N20" s="1">
        <v>0</v>
      </c>
      <c r="O20" s="1"/>
      <c r="P20" s="18" t="e">
        <f t="shared" si="3"/>
        <v>#DIV/0!</v>
      </c>
      <c r="Q20" s="1">
        <v>1</v>
      </c>
      <c r="R20" s="1"/>
      <c r="S20" s="18">
        <f t="shared" si="4"/>
        <v>0</v>
      </c>
      <c r="T20" s="1">
        <v>1</v>
      </c>
      <c r="U20" s="1"/>
      <c r="V20" s="18">
        <f t="shared" si="5"/>
        <v>0</v>
      </c>
      <c r="W20" s="1"/>
      <c r="X20" s="1"/>
      <c r="Y20" s="1"/>
      <c r="Z20" s="1"/>
      <c r="AA20" s="1">
        <v>3</v>
      </c>
      <c r="AB20" s="1"/>
      <c r="AC20" s="1"/>
      <c r="AD20" s="1"/>
      <c r="AE20" s="1"/>
      <c r="AF20" s="1"/>
      <c r="AG20" s="1"/>
      <c r="AH20" s="1"/>
      <c r="AI20" s="1"/>
      <c r="AJ20" s="1"/>
    </row>
    <row r="21" spans="1:36" ht="18">
      <c r="A21" s="1" t="s">
        <v>25</v>
      </c>
      <c r="B21" s="3">
        <v>3</v>
      </c>
      <c r="C21" s="3">
        <v>0</v>
      </c>
      <c r="D21" s="3">
        <v>3</v>
      </c>
      <c r="E21" s="1">
        <v>0</v>
      </c>
      <c r="F21" s="1"/>
      <c r="G21" s="18" t="e">
        <f t="shared" si="0"/>
        <v>#DIV/0!</v>
      </c>
      <c r="H21" s="1">
        <v>1</v>
      </c>
      <c r="I21" s="1"/>
      <c r="J21" s="18">
        <f t="shared" si="1"/>
        <v>0</v>
      </c>
      <c r="K21" s="1">
        <v>1</v>
      </c>
      <c r="L21" s="1"/>
      <c r="M21" s="18">
        <f t="shared" si="2"/>
        <v>0</v>
      </c>
      <c r="N21" s="1">
        <v>0</v>
      </c>
      <c r="O21" s="1"/>
      <c r="P21" s="18" t="e">
        <f t="shared" si="3"/>
        <v>#DIV/0!</v>
      </c>
      <c r="Q21" s="1">
        <v>1</v>
      </c>
      <c r="R21" s="1"/>
      <c r="S21" s="18">
        <f t="shared" si="4"/>
        <v>0</v>
      </c>
      <c r="T21" s="1">
        <v>1</v>
      </c>
      <c r="U21" s="1"/>
      <c r="V21" s="18">
        <f t="shared" si="5"/>
        <v>0</v>
      </c>
      <c r="W21" s="1"/>
      <c r="X21" s="1">
        <v>1</v>
      </c>
      <c r="Y21" s="1"/>
      <c r="Z21" s="1"/>
      <c r="AA21" s="1">
        <v>1</v>
      </c>
      <c r="AB21" s="1">
        <v>1</v>
      </c>
      <c r="AC21" s="1"/>
      <c r="AD21" s="1"/>
      <c r="AE21" s="1"/>
      <c r="AF21" s="1"/>
      <c r="AG21" s="1"/>
      <c r="AH21" s="1"/>
      <c r="AI21" s="1"/>
      <c r="AJ21" s="1"/>
    </row>
    <row r="22" spans="1:36" ht="18">
      <c r="A22" s="1" t="s">
        <v>19</v>
      </c>
      <c r="B22" s="3">
        <v>3</v>
      </c>
      <c r="C22" s="3">
        <v>0</v>
      </c>
      <c r="D22" s="3">
        <v>3</v>
      </c>
      <c r="E22" s="1">
        <v>0</v>
      </c>
      <c r="F22" s="1"/>
      <c r="G22" s="18" t="e">
        <f t="shared" si="0"/>
        <v>#DIV/0!</v>
      </c>
      <c r="H22" s="1">
        <v>1</v>
      </c>
      <c r="I22" s="1"/>
      <c r="J22" s="18">
        <f t="shared" si="1"/>
        <v>0</v>
      </c>
      <c r="K22" s="1">
        <v>1</v>
      </c>
      <c r="L22" s="1"/>
      <c r="M22" s="18">
        <f t="shared" si="2"/>
        <v>0</v>
      </c>
      <c r="N22" s="1">
        <v>0</v>
      </c>
      <c r="O22" s="1"/>
      <c r="P22" s="18" t="e">
        <f t="shared" si="3"/>
        <v>#DIV/0!</v>
      </c>
      <c r="Q22" s="1">
        <v>1</v>
      </c>
      <c r="R22" s="1"/>
      <c r="S22" s="18">
        <f t="shared" si="4"/>
        <v>0</v>
      </c>
      <c r="T22" s="1">
        <v>1</v>
      </c>
      <c r="U22" s="1"/>
      <c r="V22" s="18">
        <f t="shared" si="5"/>
        <v>0</v>
      </c>
      <c r="W22" s="1"/>
      <c r="X22" s="1"/>
      <c r="Y22" s="1">
        <v>1</v>
      </c>
      <c r="Z22" s="1">
        <v>1</v>
      </c>
      <c r="AA22" s="1">
        <v>1</v>
      </c>
      <c r="AB22" s="1"/>
      <c r="AC22" s="1"/>
      <c r="AD22" s="1"/>
      <c r="AE22" s="1"/>
      <c r="AF22" s="1"/>
      <c r="AG22" s="1"/>
      <c r="AH22" s="1"/>
      <c r="AI22" s="1"/>
      <c r="AJ22" s="1"/>
    </row>
    <row r="23" spans="1:36" ht="18">
      <c r="A23" s="1" t="s">
        <v>36</v>
      </c>
      <c r="B23" s="3">
        <v>3</v>
      </c>
      <c r="C23" s="3">
        <v>0</v>
      </c>
      <c r="D23" s="3">
        <v>3</v>
      </c>
      <c r="E23" s="1">
        <v>0</v>
      </c>
      <c r="F23" s="1"/>
      <c r="G23" s="18" t="e">
        <f t="shared" si="0"/>
        <v>#DIV/0!</v>
      </c>
      <c r="H23" s="1">
        <v>1</v>
      </c>
      <c r="I23" s="1"/>
      <c r="J23" s="18">
        <f t="shared" si="1"/>
        <v>0</v>
      </c>
      <c r="K23" s="1">
        <v>1</v>
      </c>
      <c r="L23" s="1"/>
      <c r="M23" s="18">
        <f t="shared" si="2"/>
        <v>0</v>
      </c>
      <c r="N23" s="1">
        <v>0</v>
      </c>
      <c r="O23" s="1"/>
      <c r="P23" s="18" t="e">
        <f t="shared" si="3"/>
        <v>#DIV/0!</v>
      </c>
      <c r="Q23" s="1">
        <v>1</v>
      </c>
      <c r="R23" s="1"/>
      <c r="S23" s="18">
        <f t="shared" si="4"/>
        <v>0</v>
      </c>
      <c r="T23" s="1">
        <v>1</v>
      </c>
      <c r="U23" s="1"/>
      <c r="V23" s="18">
        <f t="shared" si="5"/>
        <v>0</v>
      </c>
      <c r="W23" s="1"/>
      <c r="X23" s="1"/>
      <c r="Y23" s="1"/>
      <c r="Z23" s="1">
        <v>1</v>
      </c>
      <c r="AA23" s="1">
        <v>2</v>
      </c>
      <c r="AB23" s="1"/>
      <c r="AC23" s="1"/>
      <c r="AD23" s="1"/>
      <c r="AE23" s="1"/>
      <c r="AF23" s="1"/>
      <c r="AG23" s="1"/>
      <c r="AH23" s="1"/>
      <c r="AI23" s="1"/>
      <c r="AJ23" s="1"/>
    </row>
    <row r="24" spans="1:36" ht="18">
      <c r="A24" s="1" t="s">
        <v>29</v>
      </c>
      <c r="B24" s="3">
        <v>2</v>
      </c>
      <c r="C24" s="3">
        <v>0</v>
      </c>
      <c r="D24" s="3">
        <v>2</v>
      </c>
      <c r="E24" s="1">
        <v>0</v>
      </c>
      <c r="F24" s="1"/>
      <c r="G24" s="18" t="e">
        <f t="shared" si="0"/>
        <v>#DIV/0!</v>
      </c>
      <c r="H24" s="1">
        <v>1</v>
      </c>
      <c r="I24" s="1"/>
      <c r="J24" s="18">
        <f t="shared" si="1"/>
        <v>0</v>
      </c>
      <c r="K24" s="1">
        <v>1</v>
      </c>
      <c r="L24" s="1"/>
      <c r="M24" s="18">
        <f t="shared" si="2"/>
        <v>0</v>
      </c>
      <c r="N24" s="1">
        <v>0</v>
      </c>
      <c r="O24" s="1"/>
      <c r="P24" s="18" t="e">
        <f t="shared" si="3"/>
        <v>#DIV/0!</v>
      </c>
      <c r="Q24" s="1">
        <v>1</v>
      </c>
      <c r="R24" s="1"/>
      <c r="S24" s="18">
        <f t="shared" si="4"/>
        <v>0</v>
      </c>
      <c r="T24" s="1">
        <v>1</v>
      </c>
      <c r="U24" s="1"/>
      <c r="V24" s="18">
        <f t="shared" si="5"/>
        <v>0</v>
      </c>
      <c r="W24" s="1"/>
      <c r="X24" s="1"/>
      <c r="Y24" s="1"/>
      <c r="Z24" s="1"/>
      <c r="AA24" s="1">
        <v>2</v>
      </c>
      <c r="AB24" s="1"/>
      <c r="AC24" s="1"/>
      <c r="AD24" s="1"/>
      <c r="AE24" s="1"/>
      <c r="AF24" s="1"/>
      <c r="AG24" s="1"/>
      <c r="AH24" s="1"/>
      <c r="AI24" s="1"/>
      <c r="AJ24" s="1"/>
    </row>
    <row r="25" spans="1:36" ht="18">
      <c r="A25" s="1" t="s">
        <v>15</v>
      </c>
      <c r="B25" s="3">
        <v>2</v>
      </c>
      <c r="C25" s="3">
        <v>0</v>
      </c>
      <c r="D25" s="3">
        <v>2</v>
      </c>
      <c r="E25" s="1">
        <v>0</v>
      </c>
      <c r="F25" s="1"/>
      <c r="G25" s="18" t="e">
        <f t="shared" si="0"/>
        <v>#DIV/0!</v>
      </c>
      <c r="H25" s="1">
        <v>1</v>
      </c>
      <c r="I25" s="1"/>
      <c r="J25" s="18">
        <f t="shared" si="1"/>
        <v>0</v>
      </c>
      <c r="K25" s="1">
        <v>1</v>
      </c>
      <c r="L25" s="1"/>
      <c r="M25" s="18">
        <f t="shared" si="2"/>
        <v>0</v>
      </c>
      <c r="N25" s="1">
        <v>0</v>
      </c>
      <c r="O25" s="1"/>
      <c r="P25" s="18" t="e">
        <f t="shared" si="3"/>
        <v>#DIV/0!</v>
      </c>
      <c r="Q25" s="1">
        <v>1</v>
      </c>
      <c r="R25" s="1"/>
      <c r="S25" s="18">
        <f t="shared" si="4"/>
        <v>0</v>
      </c>
      <c r="T25" s="1">
        <v>1</v>
      </c>
      <c r="U25" s="1"/>
      <c r="V25" s="18">
        <f t="shared" si="5"/>
        <v>0</v>
      </c>
      <c r="W25" s="1"/>
      <c r="X25" s="1">
        <v>1</v>
      </c>
      <c r="Y25" s="1"/>
      <c r="Z25" s="1"/>
      <c r="AA25" s="1">
        <v>1</v>
      </c>
      <c r="AB25" s="1"/>
      <c r="AC25" s="1"/>
      <c r="AD25" s="1"/>
      <c r="AE25" s="1"/>
      <c r="AF25" s="1"/>
      <c r="AG25" s="1"/>
      <c r="AH25" s="1"/>
      <c r="AI25" s="1"/>
      <c r="AJ25" s="1"/>
    </row>
    <row r="26" spans="1:36" ht="18">
      <c r="A26" s="1" t="s">
        <v>34</v>
      </c>
      <c r="B26" s="3">
        <v>2</v>
      </c>
      <c r="C26" s="3">
        <v>0</v>
      </c>
      <c r="D26" s="3">
        <v>2</v>
      </c>
      <c r="E26" s="1">
        <v>0</v>
      </c>
      <c r="F26" s="1"/>
      <c r="G26" s="18" t="e">
        <f t="shared" si="0"/>
        <v>#DIV/0!</v>
      </c>
      <c r="H26" s="1">
        <v>1</v>
      </c>
      <c r="I26" s="1"/>
      <c r="J26" s="18">
        <f t="shared" si="1"/>
        <v>0</v>
      </c>
      <c r="K26" s="1">
        <v>1</v>
      </c>
      <c r="L26" s="1"/>
      <c r="M26" s="18">
        <f t="shared" si="2"/>
        <v>0</v>
      </c>
      <c r="N26" s="1">
        <v>0</v>
      </c>
      <c r="O26" s="1"/>
      <c r="P26" s="18" t="e">
        <f t="shared" si="3"/>
        <v>#DIV/0!</v>
      </c>
      <c r="Q26" s="1">
        <v>1</v>
      </c>
      <c r="R26" s="1"/>
      <c r="S26" s="18">
        <f t="shared" si="4"/>
        <v>0</v>
      </c>
      <c r="T26" s="1">
        <v>1</v>
      </c>
      <c r="U26" s="1"/>
      <c r="V26" s="18">
        <f t="shared" si="5"/>
        <v>0</v>
      </c>
      <c r="W26" s="1">
        <v>1</v>
      </c>
      <c r="X26" s="1"/>
      <c r="Y26" s="1"/>
      <c r="Z26" s="1"/>
      <c r="AA26" s="1">
        <v>1</v>
      </c>
      <c r="AB26" s="1"/>
      <c r="AC26" s="1"/>
      <c r="AD26" s="1"/>
      <c r="AE26" s="1"/>
      <c r="AF26" s="1"/>
      <c r="AG26" s="1"/>
      <c r="AH26" s="1"/>
      <c r="AI26" s="1"/>
      <c r="AJ26" s="1"/>
    </row>
    <row r="27" spans="1:36" ht="18">
      <c r="A27" s="1" t="s">
        <v>18</v>
      </c>
      <c r="B27" s="3">
        <v>2</v>
      </c>
      <c r="C27" s="3">
        <v>0</v>
      </c>
      <c r="D27" s="3">
        <v>2</v>
      </c>
      <c r="E27" s="1">
        <v>0</v>
      </c>
      <c r="F27" s="1"/>
      <c r="G27" s="18" t="e">
        <f t="shared" si="0"/>
        <v>#DIV/0!</v>
      </c>
      <c r="H27" s="1">
        <v>1</v>
      </c>
      <c r="I27" s="1"/>
      <c r="J27" s="18">
        <f t="shared" si="1"/>
        <v>0</v>
      </c>
      <c r="K27" s="1">
        <v>1</v>
      </c>
      <c r="L27" s="1"/>
      <c r="M27" s="18">
        <f t="shared" si="2"/>
        <v>0</v>
      </c>
      <c r="N27" s="1">
        <v>0</v>
      </c>
      <c r="O27" s="1"/>
      <c r="P27" s="18" t="e">
        <f t="shared" si="3"/>
        <v>#DIV/0!</v>
      </c>
      <c r="Q27" s="1">
        <v>1</v>
      </c>
      <c r="R27" s="1"/>
      <c r="S27" s="18">
        <f t="shared" si="4"/>
        <v>0</v>
      </c>
      <c r="T27" s="1">
        <v>1</v>
      </c>
      <c r="U27" s="1"/>
      <c r="V27" s="18">
        <f t="shared" si="5"/>
        <v>0</v>
      </c>
      <c r="W27" s="1"/>
      <c r="X27" s="1"/>
      <c r="Y27" s="1"/>
      <c r="Z27" s="1">
        <v>1</v>
      </c>
      <c r="AA27" s="1">
        <v>1</v>
      </c>
      <c r="AB27" s="1"/>
      <c r="AC27" s="1"/>
      <c r="AD27" s="1"/>
      <c r="AE27" s="1"/>
      <c r="AF27" s="1"/>
      <c r="AG27" s="1"/>
      <c r="AH27" s="1"/>
      <c r="AI27" s="1"/>
      <c r="AJ27" s="1"/>
    </row>
    <row r="28" spans="1:36" ht="18">
      <c r="A28" s="1" t="s">
        <v>33</v>
      </c>
      <c r="B28" s="3">
        <v>2</v>
      </c>
      <c r="C28" s="3">
        <v>0</v>
      </c>
      <c r="D28" s="3">
        <v>2</v>
      </c>
      <c r="E28" s="1">
        <v>0</v>
      </c>
      <c r="F28" s="1"/>
      <c r="G28" s="18" t="e">
        <f t="shared" si="0"/>
        <v>#DIV/0!</v>
      </c>
      <c r="H28" s="1">
        <v>1</v>
      </c>
      <c r="I28" s="1"/>
      <c r="J28" s="18">
        <f t="shared" si="1"/>
        <v>0</v>
      </c>
      <c r="K28" s="1">
        <v>1</v>
      </c>
      <c r="L28" s="1"/>
      <c r="M28" s="18">
        <f t="shared" si="2"/>
        <v>0</v>
      </c>
      <c r="N28" s="1">
        <v>0</v>
      </c>
      <c r="O28" s="1"/>
      <c r="P28" s="18" t="e">
        <f t="shared" si="3"/>
        <v>#DIV/0!</v>
      </c>
      <c r="Q28" s="1">
        <v>1</v>
      </c>
      <c r="R28" s="1"/>
      <c r="S28" s="18">
        <f t="shared" si="4"/>
        <v>0</v>
      </c>
      <c r="T28" s="1">
        <v>1</v>
      </c>
      <c r="U28" s="1"/>
      <c r="V28" s="18">
        <f t="shared" si="5"/>
        <v>0</v>
      </c>
      <c r="W28" s="1"/>
      <c r="X28" s="1">
        <v>1</v>
      </c>
      <c r="Y28" s="1"/>
      <c r="Z28" s="1">
        <v>1</v>
      </c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spans="1:36" ht="18">
      <c r="A29" s="1" t="s">
        <v>20</v>
      </c>
      <c r="B29" s="3">
        <v>2</v>
      </c>
      <c r="C29" s="3">
        <v>0</v>
      </c>
      <c r="D29" s="3">
        <v>2</v>
      </c>
      <c r="E29" s="1">
        <v>0</v>
      </c>
      <c r="F29" s="1"/>
      <c r="G29" s="18" t="e">
        <f t="shared" si="0"/>
        <v>#DIV/0!</v>
      </c>
      <c r="H29" s="1">
        <v>1</v>
      </c>
      <c r="I29" s="1"/>
      <c r="J29" s="18">
        <f t="shared" si="1"/>
        <v>0</v>
      </c>
      <c r="K29" s="1">
        <v>1</v>
      </c>
      <c r="L29" s="1"/>
      <c r="M29" s="18">
        <f t="shared" si="2"/>
        <v>0</v>
      </c>
      <c r="N29" s="1">
        <v>0</v>
      </c>
      <c r="O29" s="1"/>
      <c r="P29" s="18" t="e">
        <f t="shared" si="3"/>
        <v>#DIV/0!</v>
      </c>
      <c r="Q29" s="1">
        <v>1</v>
      </c>
      <c r="R29" s="1"/>
      <c r="S29" s="18">
        <f t="shared" si="4"/>
        <v>0</v>
      </c>
      <c r="T29" s="1">
        <v>1</v>
      </c>
      <c r="U29" s="1"/>
      <c r="V29" s="18">
        <f t="shared" si="5"/>
        <v>0</v>
      </c>
      <c r="W29" s="1"/>
      <c r="X29" s="1"/>
      <c r="Y29" s="1"/>
      <c r="Z29" s="1">
        <v>1</v>
      </c>
      <c r="AA29" s="1">
        <v>1</v>
      </c>
      <c r="AB29" s="1"/>
      <c r="AC29" s="1"/>
      <c r="AD29" s="1"/>
      <c r="AE29" s="1"/>
      <c r="AF29" s="1"/>
      <c r="AG29" s="1"/>
      <c r="AH29" s="1"/>
      <c r="AI29" s="1"/>
      <c r="AJ29" s="1"/>
    </row>
    <row r="30" spans="1:36" ht="18">
      <c r="A30" s="1" t="s">
        <v>37</v>
      </c>
      <c r="B30" s="3">
        <v>2</v>
      </c>
      <c r="C30" s="3">
        <v>0</v>
      </c>
      <c r="D30" s="3">
        <v>2</v>
      </c>
      <c r="E30" s="1">
        <v>0</v>
      </c>
      <c r="F30" s="1"/>
      <c r="G30" s="18" t="e">
        <f t="shared" si="0"/>
        <v>#DIV/0!</v>
      </c>
      <c r="H30" s="1">
        <v>1</v>
      </c>
      <c r="I30" s="1"/>
      <c r="J30" s="18">
        <f t="shared" si="1"/>
        <v>0</v>
      </c>
      <c r="K30" s="1">
        <v>1</v>
      </c>
      <c r="L30" s="1"/>
      <c r="M30" s="18">
        <f t="shared" si="2"/>
        <v>0</v>
      </c>
      <c r="N30" s="1">
        <v>0</v>
      </c>
      <c r="O30" s="1"/>
      <c r="P30" s="18" t="e">
        <f t="shared" si="3"/>
        <v>#DIV/0!</v>
      </c>
      <c r="Q30" s="1">
        <v>1</v>
      </c>
      <c r="R30" s="1"/>
      <c r="S30" s="18">
        <f t="shared" si="4"/>
        <v>0</v>
      </c>
      <c r="T30" s="1">
        <v>1</v>
      </c>
      <c r="U30" s="1"/>
      <c r="V30" s="18">
        <f t="shared" si="5"/>
        <v>0</v>
      </c>
      <c r="W30" s="1"/>
      <c r="X30" s="1"/>
      <c r="Y30" s="1"/>
      <c r="Z30" s="1">
        <v>1</v>
      </c>
      <c r="AA30" s="1">
        <v>1</v>
      </c>
      <c r="AB30" s="1"/>
      <c r="AC30" s="1"/>
      <c r="AD30" s="1"/>
      <c r="AE30" s="1"/>
      <c r="AF30" s="1"/>
      <c r="AG30" s="1"/>
      <c r="AH30" s="1"/>
      <c r="AI30" s="1"/>
      <c r="AJ30" s="1"/>
    </row>
    <row r="31" spans="1:36" ht="18">
      <c r="A31" s="1" t="s">
        <v>30</v>
      </c>
      <c r="B31" s="3">
        <v>1</v>
      </c>
      <c r="C31" s="3">
        <v>0</v>
      </c>
      <c r="D31" s="3">
        <v>1</v>
      </c>
      <c r="E31" s="1">
        <v>0</v>
      </c>
      <c r="F31" s="1"/>
      <c r="G31" s="18" t="e">
        <f t="shared" si="0"/>
        <v>#DIV/0!</v>
      </c>
      <c r="H31" s="1">
        <v>1</v>
      </c>
      <c r="I31" s="1"/>
      <c r="J31" s="18">
        <f t="shared" si="1"/>
        <v>0</v>
      </c>
      <c r="K31" s="1">
        <v>1</v>
      </c>
      <c r="L31" s="1"/>
      <c r="M31" s="18">
        <f t="shared" si="2"/>
        <v>0</v>
      </c>
      <c r="N31" s="1">
        <v>0</v>
      </c>
      <c r="O31" s="1"/>
      <c r="P31" s="18" t="e">
        <f t="shared" si="3"/>
        <v>#DIV/0!</v>
      </c>
      <c r="Q31" s="1">
        <v>1</v>
      </c>
      <c r="R31" s="1"/>
      <c r="S31" s="18">
        <f t="shared" si="4"/>
        <v>0</v>
      </c>
      <c r="T31" s="1">
        <v>1</v>
      </c>
      <c r="U31" s="1"/>
      <c r="V31" s="18">
        <f t="shared" si="5"/>
        <v>0</v>
      </c>
      <c r="W31" s="1"/>
      <c r="X31" s="1"/>
      <c r="Y31" s="1"/>
      <c r="Z31" s="1"/>
      <c r="AA31" s="1">
        <v>1</v>
      </c>
      <c r="AB31" s="1">
        <v>0</v>
      </c>
      <c r="AC31" s="1"/>
      <c r="AD31" s="1"/>
      <c r="AE31" s="1"/>
      <c r="AF31" s="1"/>
      <c r="AG31" s="1"/>
      <c r="AH31" s="1"/>
      <c r="AI31" s="1"/>
      <c r="AJ31" s="1"/>
    </row>
    <row r="32" spans="1:36" ht="18">
      <c r="A32" s="1" t="s">
        <v>35</v>
      </c>
      <c r="B32" s="3">
        <v>1</v>
      </c>
      <c r="C32" s="3">
        <v>0</v>
      </c>
      <c r="D32" s="3">
        <v>1</v>
      </c>
      <c r="E32" s="1">
        <v>0</v>
      </c>
      <c r="F32" s="1"/>
      <c r="G32" s="18" t="e">
        <f t="shared" si="0"/>
        <v>#DIV/0!</v>
      </c>
      <c r="H32" s="1">
        <v>1</v>
      </c>
      <c r="I32" s="1"/>
      <c r="J32" s="18">
        <f t="shared" si="1"/>
        <v>0</v>
      </c>
      <c r="K32" s="1">
        <v>1</v>
      </c>
      <c r="L32" s="1"/>
      <c r="M32" s="18">
        <f t="shared" si="2"/>
        <v>0</v>
      </c>
      <c r="N32" s="1">
        <v>0</v>
      </c>
      <c r="O32" s="1"/>
      <c r="P32" s="18" t="e">
        <f t="shared" si="3"/>
        <v>#DIV/0!</v>
      </c>
      <c r="Q32" s="1">
        <v>1</v>
      </c>
      <c r="R32" s="1"/>
      <c r="S32" s="18">
        <f t="shared" si="4"/>
        <v>0</v>
      </c>
      <c r="T32" s="1">
        <v>1</v>
      </c>
      <c r="U32" s="1"/>
      <c r="V32" s="18">
        <f t="shared" si="5"/>
        <v>0</v>
      </c>
      <c r="W32" s="1"/>
      <c r="X32" s="1"/>
      <c r="Y32" s="1">
        <v>0</v>
      </c>
      <c r="Z32" s="1"/>
      <c r="AA32" s="1">
        <v>1</v>
      </c>
      <c r="AB32" s="1"/>
      <c r="AC32" s="1"/>
      <c r="AD32" s="1"/>
      <c r="AE32" s="1"/>
      <c r="AF32" s="1"/>
      <c r="AG32" s="1"/>
      <c r="AH32" s="1"/>
      <c r="AI32" s="1"/>
      <c r="AJ32" s="1"/>
    </row>
    <row r="33" spans="1:36" ht="18">
      <c r="A33" s="1" t="s">
        <v>110</v>
      </c>
      <c r="B33" s="3">
        <v>1</v>
      </c>
      <c r="C33" s="3">
        <v>0</v>
      </c>
      <c r="D33" s="3">
        <v>1</v>
      </c>
      <c r="E33" s="1">
        <v>0</v>
      </c>
      <c r="F33" s="1"/>
      <c r="G33" s="18" t="e">
        <f t="shared" ref="G33" si="6">F33/E33</f>
        <v>#DIV/0!</v>
      </c>
      <c r="H33" s="1">
        <v>1</v>
      </c>
      <c r="I33" s="1"/>
      <c r="J33" s="18">
        <f t="shared" ref="J33" si="7">I33/H33</f>
        <v>0</v>
      </c>
      <c r="K33" s="1">
        <v>1</v>
      </c>
      <c r="L33" s="1"/>
      <c r="M33" s="18">
        <f t="shared" ref="M33" si="8">L33/K33</f>
        <v>0</v>
      </c>
      <c r="N33" s="1">
        <v>0</v>
      </c>
      <c r="O33" s="1"/>
      <c r="P33" s="18" t="e">
        <f t="shared" ref="P33" si="9">O33/N33</f>
        <v>#DIV/0!</v>
      </c>
      <c r="Q33" s="1">
        <v>1</v>
      </c>
      <c r="R33" s="1"/>
      <c r="S33" s="18">
        <f t="shared" ref="S33" si="10">R33/Q33</f>
        <v>0</v>
      </c>
      <c r="T33" s="1">
        <v>1</v>
      </c>
      <c r="U33" s="1"/>
      <c r="V33" s="18">
        <f t="shared" ref="V33" si="11">U33/T33</f>
        <v>0</v>
      </c>
      <c r="W33" s="1"/>
      <c r="X33" s="1"/>
      <c r="Y33" s="1">
        <v>0</v>
      </c>
      <c r="Z33" s="1"/>
      <c r="AA33" s="1">
        <v>1</v>
      </c>
      <c r="AB33" s="1"/>
      <c r="AC33" s="1"/>
      <c r="AD33" s="1"/>
      <c r="AE33" s="1"/>
      <c r="AF33" s="1"/>
      <c r="AG33" s="1"/>
      <c r="AH33" s="1"/>
      <c r="AI33" s="1"/>
      <c r="AJ33" s="1"/>
    </row>
    <row r="34" spans="1:36" ht="18">
      <c r="A34" s="1" t="s">
        <v>111</v>
      </c>
      <c r="B34" s="3">
        <v>1</v>
      </c>
      <c r="C34" s="3">
        <v>0</v>
      </c>
      <c r="D34" s="3">
        <v>1</v>
      </c>
      <c r="E34" s="1">
        <v>0</v>
      </c>
      <c r="F34" s="1"/>
      <c r="G34" s="18" t="e">
        <f t="shared" ref="G34" si="12">F34/E34</f>
        <v>#DIV/0!</v>
      </c>
      <c r="H34" s="1">
        <v>1</v>
      </c>
      <c r="I34" s="1"/>
      <c r="J34" s="18">
        <f t="shared" ref="J34" si="13">I34/H34</f>
        <v>0</v>
      </c>
      <c r="K34" s="1">
        <v>1</v>
      </c>
      <c r="L34" s="1"/>
      <c r="M34" s="18">
        <f t="shared" ref="M34" si="14">L34/K34</f>
        <v>0</v>
      </c>
      <c r="N34" s="1">
        <v>0</v>
      </c>
      <c r="O34" s="1"/>
      <c r="P34" s="18" t="e">
        <f t="shared" ref="P34" si="15">O34/N34</f>
        <v>#DIV/0!</v>
      </c>
      <c r="Q34" s="1">
        <v>1</v>
      </c>
      <c r="R34" s="1"/>
      <c r="S34" s="18">
        <f t="shared" ref="S34" si="16">R34/Q34</f>
        <v>0</v>
      </c>
      <c r="T34" s="1">
        <v>1</v>
      </c>
      <c r="U34" s="1"/>
      <c r="V34" s="18">
        <f t="shared" ref="V34" si="17">U34/T34</f>
        <v>0</v>
      </c>
      <c r="W34" s="1"/>
      <c r="X34" s="1"/>
      <c r="Y34" s="1">
        <v>0</v>
      </c>
      <c r="Z34" s="1"/>
      <c r="AA34" s="1">
        <v>1</v>
      </c>
      <c r="AB34" s="1"/>
      <c r="AC34" s="1"/>
      <c r="AD34" s="1"/>
      <c r="AE34" s="1"/>
      <c r="AF34" s="1"/>
      <c r="AG34" s="1"/>
      <c r="AH34" s="1"/>
      <c r="AI34" s="1"/>
      <c r="AJ34" s="1"/>
    </row>
    <row r="35" spans="1:36" ht="18">
      <c r="A35" s="2" t="s">
        <v>44</v>
      </c>
      <c r="B35" s="2">
        <f t="shared" ref="B35:AJ35" si="18">SUM(B2:B32)</f>
        <v>176</v>
      </c>
      <c r="C35" s="2">
        <f t="shared" si="18"/>
        <v>181</v>
      </c>
      <c r="D35" s="2">
        <f t="shared" si="18"/>
        <v>357</v>
      </c>
      <c r="E35" s="2">
        <f t="shared" si="18"/>
        <v>25</v>
      </c>
      <c r="F35" s="2">
        <f t="shared" si="18"/>
        <v>0</v>
      </c>
      <c r="G35" s="19">
        <f t="shared" si="0"/>
        <v>0</v>
      </c>
      <c r="H35" s="2">
        <f t="shared" si="18"/>
        <v>52</v>
      </c>
      <c r="I35" s="2">
        <f t="shared" si="18"/>
        <v>0</v>
      </c>
      <c r="J35" s="19">
        <f t="shared" si="1"/>
        <v>0</v>
      </c>
      <c r="K35" s="2">
        <f t="shared" si="18"/>
        <v>83</v>
      </c>
      <c r="L35" s="2">
        <f t="shared" si="18"/>
        <v>0</v>
      </c>
      <c r="M35" s="19">
        <f t="shared" si="2"/>
        <v>0</v>
      </c>
      <c r="N35" s="2">
        <f t="shared" si="18"/>
        <v>25</v>
      </c>
      <c r="O35" s="2">
        <f t="shared" si="18"/>
        <v>0</v>
      </c>
      <c r="P35" s="19">
        <f t="shared" si="3"/>
        <v>0</v>
      </c>
      <c r="Q35" s="2">
        <f t="shared" si="18"/>
        <v>52</v>
      </c>
      <c r="R35" s="2">
        <f t="shared" si="18"/>
        <v>0</v>
      </c>
      <c r="S35" s="19">
        <f t="shared" si="4"/>
        <v>0</v>
      </c>
      <c r="T35" s="2">
        <f t="shared" si="18"/>
        <v>83</v>
      </c>
      <c r="U35" s="2">
        <f t="shared" si="18"/>
        <v>0</v>
      </c>
      <c r="V35" s="19">
        <f t="shared" si="5"/>
        <v>0</v>
      </c>
      <c r="W35" s="2">
        <f t="shared" si="18"/>
        <v>9</v>
      </c>
      <c r="X35" s="2">
        <f t="shared" si="18"/>
        <v>29</v>
      </c>
      <c r="Y35" s="2">
        <f t="shared" si="18"/>
        <v>5</v>
      </c>
      <c r="Z35" s="2">
        <f t="shared" si="18"/>
        <v>33</v>
      </c>
      <c r="AA35" s="2">
        <f t="shared" si="18"/>
        <v>80</v>
      </c>
      <c r="AB35" s="2">
        <f t="shared" si="18"/>
        <v>20</v>
      </c>
      <c r="AC35" s="2">
        <f t="shared" si="18"/>
        <v>14</v>
      </c>
      <c r="AD35" s="2">
        <f t="shared" si="18"/>
        <v>41</v>
      </c>
      <c r="AE35" s="2">
        <f t="shared" si="18"/>
        <v>23</v>
      </c>
      <c r="AF35" s="2">
        <f t="shared" si="18"/>
        <v>47</v>
      </c>
      <c r="AG35" s="2">
        <f t="shared" si="18"/>
        <v>10</v>
      </c>
      <c r="AH35" s="2">
        <f t="shared" si="18"/>
        <v>10</v>
      </c>
      <c r="AI35" s="2">
        <f t="shared" si="18"/>
        <v>12</v>
      </c>
      <c r="AJ35" s="2">
        <f t="shared" si="18"/>
        <v>24</v>
      </c>
    </row>
  </sheetData>
  <phoneticPr fontId="1" type="noConversion"/>
  <conditionalFormatting sqref="G2:G3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J34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3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:P3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:S3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:V3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062DC-1251-0845-9D5E-0792FF348B22}">
  <dimension ref="A1:Q23"/>
  <sheetViews>
    <sheetView workbookViewId="0">
      <selection activeCell="F28" sqref="F28"/>
    </sheetView>
  </sheetViews>
  <sheetFormatPr baseColWidth="10" defaultRowHeight="14"/>
  <cols>
    <col min="1" max="1" width="41.6640625" bestFit="1" customWidth="1"/>
    <col min="4" max="17" width="13.83203125" customWidth="1"/>
  </cols>
  <sheetData>
    <row r="1" spans="1:17" ht="36" customHeight="1">
      <c r="A1" s="21" t="s">
        <v>70</v>
      </c>
      <c r="B1" s="22" t="s">
        <v>71</v>
      </c>
      <c r="C1" s="23" t="s">
        <v>100</v>
      </c>
      <c r="D1" s="21" t="s">
        <v>105</v>
      </c>
      <c r="E1" s="21"/>
      <c r="F1" s="21"/>
      <c r="G1" s="21"/>
      <c r="H1" s="21"/>
      <c r="I1" s="21"/>
      <c r="J1" s="21"/>
      <c r="K1" s="21" t="s">
        <v>106</v>
      </c>
      <c r="L1" s="21"/>
      <c r="M1" s="21"/>
      <c r="N1" s="21"/>
      <c r="O1" s="21"/>
      <c r="P1" s="21"/>
      <c r="Q1" s="21"/>
    </row>
    <row r="2" spans="1:17" ht="30" customHeight="1">
      <c r="A2" s="21"/>
      <c r="B2" s="22"/>
      <c r="C2" s="24"/>
      <c r="D2" s="14" t="s">
        <v>48</v>
      </c>
      <c r="E2" s="14" t="s">
        <v>108</v>
      </c>
      <c r="F2" s="14" t="s">
        <v>109</v>
      </c>
      <c r="G2" s="14" t="s">
        <v>107</v>
      </c>
      <c r="H2" s="14" t="s">
        <v>103</v>
      </c>
      <c r="I2" s="14" t="s">
        <v>104</v>
      </c>
      <c r="J2" s="14" t="s">
        <v>72</v>
      </c>
      <c r="K2" s="14" t="s">
        <v>48</v>
      </c>
      <c r="L2" s="14" t="s">
        <v>108</v>
      </c>
      <c r="M2" s="14" t="s">
        <v>109</v>
      </c>
      <c r="N2" s="14" t="s">
        <v>107</v>
      </c>
      <c r="O2" s="14" t="s">
        <v>103</v>
      </c>
      <c r="P2" s="14" t="s">
        <v>104</v>
      </c>
      <c r="Q2" s="14" t="s">
        <v>72</v>
      </c>
    </row>
    <row r="3" spans="1:17" ht="16">
      <c r="A3" s="7" t="s">
        <v>73</v>
      </c>
      <c r="B3" s="8" t="s">
        <v>74</v>
      </c>
      <c r="C3" s="8" t="s">
        <v>101</v>
      </c>
      <c r="D3" s="9">
        <v>2</v>
      </c>
      <c r="E3" s="9"/>
      <c r="F3" s="16">
        <f>E3/D3</f>
        <v>0</v>
      </c>
      <c r="G3" s="9">
        <v>5</v>
      </c>
      <c r="H3" s="9"/>
      <c r="I3" s="16">
        <f>H3/G3</f>
        <v>0</v>
      </c>
      <c r="J3" s="9">
        <v>26</v>
      </c>
      <c r="K3" s="9">
        <v>2</v>
      </c>
      <c r="L3" s="9"/>
      <c r="M3" s="16">
        <f>L3/K3</f>
        <v>0</v>
      </c>
      <c r="N3" s="9">
        <v>4</v>
      </c>
      <c r="O3" s="9"/>
      <c r="P3" s="16">
        <f>O3/N3</f>
        <v>0</v>
      </c>
      <c r="Q3" s="9">
        <v>25</v>
      </c>
    </row>
    <row r="4" spans="1:17" ht="16">
      <c r="A4" s="7" t="s">
        <v>75</v>
      </c>
      <c r="B4" s="8" t="s">
        <v>76</v>
      </c>
      <c r="C4" s="8" t="s">
        <v>101</v>
      </c>
      <c r="D4" s="9">
        <v>2</v>
      </c>
      <c r="E4" s="9"/>
      <c r="F4" s="16">
        <f t="shared" ref="F4:F23" si="0">E4/D4</f>
        <v>0</v>
      </c>
      <c r="G4" s="9">
        <v>4</v>
      </c>
      <c r="H4" s="9"/>
      <c r="I4" s="16">
        <f t="shared" ref="I4:I23" si="1">H4/G4</f>
        <v>0</v>
      </c>
      <c r="J4" s="9">
        <v>24</v>
      </c>
      <c r="K4" s="9">
        <v>3</v>
      </c>
      <c r="L4" s="9"/>
      <c r="M4" s="16">
        <f t="shared" ref="M4:M23" si="2">L4/K4</f>
        <v>0</v>
      </c>
      <c r="N4" s="9">
        <v>7</v>
      </c>
      <c r="O4" s="9"/>
      <c r="P4" s="16">
        <f t="shared" ref="P4:P23" si="3">O4/N4</f>
        <v>0</v>
      </c>
      <c r="Q4" s="9">
        <v>40</v>
      </c>
    </row>
    <row r="5" spans="1:17" ht="16">
      <c r="A5" s="7" t="s">
        <v>77</v>
      </c>
      <c r="B5" s="8" t="s">
        <v>78</v>
      </c>
      <c r="C5" s="8" t="s">
        <v>101</v>
      </c>
      <c r="D5" s="9">
        <v>2</v>
      </c>
      <c r="E5" s="9"/>
      <c r="F5" s="16">
        <f t="shared" si="0"/>
        <v>0</v>
      </c>
      <c r="G5" s="9">
        <v>4</v>
      </c>
      <c r="H5" s="9"/>
      <c r="I5" s="16">
        <f t="shared" si="1"/>
        <v>0</v>
      </c>
      <c r="J5" s="9">
        <v>24</v>
      </c>
      <c r="K5" s="9">
        <v>1</v>
      </c>
      <c r="L5" s="9"/>
      <c r="M5" s="16">
        <f t="shared" si="2"/>
        <v>0</v>
      </c>
      <c r="N5" s="9">
        <v>3</v>
      </c>
      <c r="O5" s="9"/>
      <c r="P5" s="16">
        <f t="shared" si="3"/>
        <v>0</v>
      </c>
      <c r="Q5" s="9">
        <v>17</v>
      </c>
    </row>
    <row r="6" spans="1:17" ht="16">
      <c r="A6" s="7" t="s">
        <v>79</v>
      </c>
      <c r="B6" s="8" t="s">
        <v>80</v>
      </c>
      <c r="C6" s="8" t="s">
        <v>101</v>
      </c>
      <c r="D6" s="9">
        <v>2</v>
      </c>
      <c r="E6" s="9"/>
      <c r="F6" s="16">
        <f t="shared" si="0"/>
        <v>0</v>
      </c>
      <c r="G6" s="9">
        <v>4</v>
      </c>
      <c r="H6" s="9"/>
      <c r="I6" s="16">
        <f t="shared" si="1"/>
        <v>0</v>
      </c>
      <c r="J6" s="9">
        <v>21</v>
      </c>
      <c r="K6" s="9">
        <v>1</v>
      </c>
      <c r="L6" s="9"/>
      <c r="M6" s="16">
        <f t="shared" si="2"/>
        <v>0</v>
      </c>
      <c r="N6" s="9">
        <v>3</v>
      </c>
      <c r="O6" s="9"/>
      <c r="P6" s="16">
        <f t="shared" si="3"/>
        <v>0</v>
      </c>
      <c r="Q6" s="9">
        <v>21</v>
      </c>
    </row>
    <row r="7" spans="1:17" ht="16">
      <c r="A7" s="7" t="s">
        <v>81</v>
      </c>
      <c r="B7" s="8"/>
      <c r="C7" s="8" t="s">
        <v>101</v>
      </c>
      <c r="D7" s="9">
        <v>1</v>
      </c>
      <c r="E7" s="9"/>
      <c r="F7" s="16">
        <f t="shared" si="0"/>
        <v>0</v>
      </c>
      <c r="G7" s="9">
        <v>3</v>
      </c>
      <c r="H7" s="9"/>
      <c r="I7" s="16">
        <f t="shared" si="1"/>
        <v>0</v>
      </c>
      <c r="J7" s="9">
        <v>17</v>
      </c>
      <c r="K7" s="9">
        <v>3</v>
      </c>
      <c r="L7" s="9"/>
      <c r="M7" s="16">
        <f t="shared" si="2"/>
        <v>0</v>
      </c>
      <c r="N7" s="9">
        <v>7</v>
      </c>
      <c r="O7" s="9"/>
      <c r="P7" s="16">
        <f t="shared" si="3"/>
        <v>0</v>
      </c>
      <c r="Q7" s="9">
        <v>41</v>
      </c>
    </row>
    <row r="8" spans="1:17" ht="16">
      <c r="A8" s="7" t="s">
        <v>82</v>
      </c>
      <c r="B8" s="8" t="s">
        <v>83</v>
      </c>
      <c r="C8" s="8" t="s">
        <v>101</v>
      </c>
      <c r="D8" s="9">
        <v>1</v>
      </c>
      <c r="E8" s="9"/>
      <c r="F8" s="16">
        <f t="shared" si="0"/>
        <v>0</v>
      </c>
      <c r="G8" s="9">
        <v>3</v>
      </c>
      <c r="H8" s="9"/>
      <c r="I8" s="16">
        <f t="shared" si="1"/>
        <v>0</v>
      </c>
      <c r="J8" s="9">
        <v>15</v>
      </c>
      <c r="K8" s="9">
        <v>2</v>
      </c>
      <c r="L8" s="9"/>
      <c r="M8" s="16">
        <f t="shared" si="2"/>
        <v>0</v>
      </c>
      <c r="N8" s="9">
        <v>4</v>
      </c>
      <c r="O8" s="9"/>
      <c r="P8" s="16">
        <f t="shared" si="3"/>
        <v>0</v>
      </c>
      <c r="Q8" s="9">
        <v>27</v>
      </c>
    </row>
    <row r="9" spans="1:17" ht="16">
      <c r="A9" s="7" t="s">
        <v>84</v>
      </c>
      <c r="B9" s="8" t="s">
        <v>78</v>
      </c>
      <c r="C9" s="8" t="s">
        <v>101</v>
      </c>
      <c r="D9" s="9">
        <v>1</v>
      </c>
      <c r="E9" s="9"/>
      <c r="F9" s="16">
        <f t="shared" si="0"/>
        <v>0</v>
      </c>
      <c r="G9" s="9">
        <v>3</v>
      </c>
      <c r="H9" s="9"/>
      <c r="I9" s="16">
        <f t="shared" si="1"/>
        <v>0</v>
      </c>
      <c r="J9" s="9">
        <v>14</v>
      </c>
      <c r="K9" s="9">
        <v>2</v>
      </c>
      <c r="L9" s="9"/>
      <c r="M9" s="16">
        <f t="shared" si="2"/>
        <v>0</v>
      </c>
      <c r="N9" s="9">
        <v>5</v>
      </c>
      <c r="O9" s="9"/>
      <c r="P9" s="16">
        <f t="shared" si="3"/>
        <v>0</v>
      </c>
      <c r="Q9" s="9">
        <v>31</v>
      </c>
    </row>
    <row r="10" spans="1:17" ht="16">
      <c r="A10" s="10" t="s">
        <v>85</v>
      </c>
      <c r="B10" s="11" t="s">
        <v>78</v>
      </c>
      <c r="C10" s="8" t="s">
        <v>101</v>
      </c>
      <c r="D10" s="12">
        <v>3</v>
      </c>
      <c r="E10" s="12"/>
      <c r="F10" s="16">
        <f t="shared" si="0"/>
        <v>0</v>
      </c>
      <c r="G10" s="12">
        <v>8</v>
      </c>
      <c r="H10" s="12"/>
      <c r="I10" s="16">
        <f t="shared" si="1"/>
        <v>0</v>
      </c>
      <c r="J10" s="12">
        <v>36</v>
      </c>
      <c r="K10" s="12">
        <v>2</v>
      </c>
      <c r="L10" s="12"/>
      <c r="M10" s="16">
        <f t="shared" si="2"/>
        <v>0</v>
      </c>
      <c r="N10" s="12">
        <v>6</v>
      </c>
      <c r="O10" s="12"/>
      <c r="P10" s="16">
        <f t="shared" si="3"/>
        <v>0</v>
      </c>
      <c r="Q10" s="12">
        <v>32</v>
      </c>
    </row>
    <row r="11" spans="1:17" ht="16">
      <c r="A11" s="10" t="s">
        <v>86</v>
      </c>
      <c r="B11" s="11" t="s">
        <v>78</v>
      </c>
      <c r="C11" s="8" t="s">
        <v>101</v>
      </c>
      <c r="D11" s="12">
        <v>1</v>
      </c>
      <c r="E11" s="12"/>
      <c r="F11" s="16">
        <f t="shared" si="0"/>
        <v>0</v>
      </c>
      <c r="G11" s="12">
        <v>4</v>
      </c>
      <c r="H11" s="12"/>
      <c r="I11" s="16">
        <f t="shared" si="1"/>
        <v>0</v>
      </c>
      <c r="J11" s="12">
        <v>19</v>
      </c>
      <c r="K11" s="12">
        <v>1</v>
      </c>
      <c r="L11" s="12"/>
      <c r="M11" s="16">
        <f t="shared" si="2"/>
        <v>0</v>
      </c>
      <c r="N11" s="12">
        <v>3</v>
      </c>
      <c r="O11" s="12"/>
      <c r="P11" s="16">
        <f t="shared" si="3"/>
        <v>0</v>
      </c>
      <c r="Q11" s="12">
        <v>16</v>
      </c>
    </row>
    <row r="12" spans="1:17" ht="16">
      <c r="A12" s="20" t="s">
        <v>43</v>
      </c>
      <c r="B12" s="20"/>
      <c r="C12" s="15"/>
      <c r="D12" s="15">
        <f>SUM(D3:D11)</f>
        <v>15</v>
      </c>
      <c r="E12" s="15">
        <f>SUM(E3:E11)</f>
        <v>0</v>
      </c>
      <c r="F12" s="17">
        <f t="shared" si="0"/>
        <v>0</v>
      </c>
      <c r="G12" s="15">
        <f>SUM(G3:G11)</f>
        <v>38</v>
      </c>
      <c r="H12" s="15">
        <f>SUM(H3:H11)</f>
        <v>0</v>
      </c>
      <c r="I12" s="17">
        <f t="shared" si="1"/>
        <v>0</v>
      </c>
      <c r="J12" s="15">
        <f>SUM(J3:J11)</f>
        <v>196</v>
      </c>
      <c r="K12" s="15">
        <f>SUM(K3:K11)</f>
        <v>17</v>
      </c>
      <c r="L12" s="15">
        <f>SUM(L3:L11)</f>
        <v>0</v>
      </c>
      <c r="M12" s="17">
        <f t="shared" si="2"/>
        <v>0</v>
      </c>
      <c r="N12" s="15">
        <f>SUM(N3:N11)</f>
        <v>42</v>
      </c>
      <c r="O12" s="15">
        <f>SUM(O3:O11)</f>
        <v>0</v>
      </c>
      <c r="P12" s="17">
        <f t="shared" si="3"/>
        <v>0</v>
      </c>
      <c r="Q12" s="15">
        <f>SUM(Q3:Q11)</f>
        <v>250</v>
      </c>
    </row>
    <row r="13" spans="1:17" ht="16">
      <c r="A13" s="7" t="s">
        <v>87</v>
      </c>
      <c r="B13" s="13"/>
      <c r="C13" s="11" t="s">
        <v>102</v>
      </c>
      <c r="D13" s="9">
        <v>1</v>
      </c>
      <c r="E13" s="9"/>
      <c r="F13" s="16">
        <f t="shared" si="0"/>
        <v>0</v>
      </c>
      <c r="G13" s="9">
        <v>2</v>
      </c>
      <c r="H13" s="9"/>
      <c r="I13" s="16">
        <f t="shared" si="1"/>
        <v>0</v>
      </c>
      <c r="J13" s="9">
        <v>9</v>
      </c>
      <c r="K13" s="9">
        <v>0</v>
      </c>
      <c r="L13" s="9"/>
      <c r="M13" s="16" t="e">
        <f t="shared" si="2"/>
        <v>#DIV/0!</v>
      </c>
      <c r="N13" s="9">
        <v>1</v>
      </c>
      <c r="O13" s="9"/>
      <c r="P13" s="16">
        <f t="shared" si="3"/>
        <v>0</v>
      </c>
      <c r="Q13" s="9">
        <v>5</v>
      </c>
    </row>
    <row r="14" spans="1:17" ht="16">
      <c r="A14" s="13" t="s">
        <v>88</v>
      </c>
      <c r="B14" s="13"/>
      <c r="C14" s="11" t="s">
        <v>102</v>
      </c>
      <c r="D14" s="12">
        <v>2</v>
      </c>
      <c r="E14" s="12"/>
      <c r="F14" s="16">
        <f t="shared" si="0"/>
        <v>0</v>
      </c>
      <c r="G14" s="12">
        <v>4</v>
      </c>
      <c r="H14" s="12"/>
      <c r="I14" s="16">
        <f t="shared" si="1"/>
        <v>0</v>
      </c>
      <c r="J14" s="12">
        <v>19</v>
      </c>
      <c r="K14" s="12">
        <v>1</v>
      </c>
      <c r="L14" s="12"/>
      <c r="M14" s="16">
        <f t="shared" si="2"/>
        <v>0</v>
      </c>
      <c r="N14" s="12">
        <v>3</v>
      </c>
      <c r="O14" s="12"/>
      <c r="P14" s="16">
        <f t="shared" si="3"/>
        <v>0</v>
      </c>
      <c r="Q14" s="12">
        <v>18</v>
      </c>
    </row>
    <row r="15" spans="1:17" ht="16">
      <c r="A15" s="7" t="s">
        <v>89</v>
      </c>
      <c r="B15" s="13" t="s">
        <v>90</v>
      </c>
      <c r="C15" s="11" t="s">
        <v>102</v>
      </c>
      <c r="D15" s="9">
        <v>4</v>
      </c>
      <c r="E15" s="9"/>
      <c r="F15" s="16">
        <f t="shared" si="0"/>
        <v>0</v>
      </c>
      <c r="G15" s="9">
        <v>10</v>
      </c>
      <c r="H15" s="9"/>
      <c r="I15" s="16">
        <f t="shared" si="1"/>
        <v>0</v>
      </c>
      <c r="J15" s="9">
        <v>53</v>
      </c>
      <c r="K15" s="9">
        <v>2</v>
      </c>
      <c r="L15" s="9"/>
      <c r="M15" s="16">
        <f t="shared" si="2"/>
        <v>0</v>
      </c>
      <c r="N15" s="9">
        <v>5</v>
      </c>
      <c r="O15" s="9"/>
      <c r="P15" s="16">
        <f t="shared" si="3"/>
        <v>0</v>
      </c>
      <c r="Q15" s="9">
        <v>31</v>
      </c>
    </row>
    <row r="16" spans="1:17" ht="16">
      <c r="A16" s="7" t="s">
        <v>91</v>
      </c>
      <c r="B16" s="13" t="s">
        <v>92</v>
      </c>
      <c r="C16" s="11" t="s">
        <v>102</v>
      </c>
      <c r="D16" s="9">
        <v>2</v>
      </c>
      <c r="E16" s="9"/>
      <c r="F16" s="16">
        <f t="shared" si="0"/>
        <v>0</v>
      </c>
      <c r="G16" s="9">
        <v>6</v>
      </c>
      <c r="H16" s="9"/>
      <c r="I16" s="16">
        <f t="shared" si="1"/>
        <v>0</v>
      </c>
      <c r="J16" s="9">
        <v>32</v>
      </c>
      <c r="K16" s="9">
        <v>1</v>
      </c>
      <c r="L16" s="9"/>
      <c r="M16" s="16">
        <f t="shared" si="2"/>
        <v>0</v>
      </c>
      <c r="N16" s="9">
        <v>2</v>
      </c>
      <c r="O16" s="9"/>
      <c r="P16" s="16">
        <f t="shared" si="3"/>
        <v>0</v>
      </c>
      <c r="Q16" s="9">
        <v>11</v>
      </c>
    </row>
    <row r="17" spans="1:17" ht="16">
      <c r="A17" s="7" t="s">
        <v>93</v>
      </c>
      <c r="B17" s="13" t="s">
        <v>94</v>
      </c>
      <c r="C17" s="11" t="s">
        <v>102</v>
      </c>
      <c r="D17" s="9">
        <v>2</v>
      </c>
      <c r="E17" s="9"/>
      <c r="F17" s="16">
        <f t="shared" si="0"/>
        <v>0</v>
      </c>
      <c r="G17" s="9">
        <v>5</v>
      </c>
      <c r="H17" s="9"/>
      <c r="I17" s="16">
        <f t="shared" si="1"/>
        <v>0</v>
      </c>
      <c r="J17" s="9">
        <v>28</v>
      </c>
      <c r="K17" s="9">
        <v>1</v>
      </c>
      <c r="L17" s="9"/>
      <c r="M17" s="16">
        <f t="shared" si="2"/>
        <v>0</v>
      </c>
      <c r="N17" s="9">
        <v>2</v>
      </c>
      <c r="O17" s="9"/>
      <c r="P17" s="16">
        <f t="shared" si="3"/>
        <v>0</v>
      </c>
      <c r="Q17" s="9">
        <v>14</v>
      </c>
    </row>
    <row r="18" spans="1:17" ht="16">
      <c r="A18" s="7" t="s">
        <v>95</v>
      </c>
      <c r="B18" s="13"/>
      <c r="C18" s="11" t="s">
        <v>102</v>
      </c>
      <c r="D18" s="9">
        <v>1</v>
      </c>
      <c r="E18" s="9"/>
      <c r="F18" s="16">
        <f t="shared" si="0"/>
        <v>0</v>
      </c>
      <c r="G18" s="9">
        <v>3</v>
      </c>
      <c r="H18" s="9"/>
      <c r="I18" s="16">
        <f t="shared" si="1"/>
        <v>0</v>
      </c>
      <c r="J18" s="9">
        <v>14</v>
      </c>
      <c r="K18" s="9">
        <v>1</v>
      </c>
      <c r="L18" s="9"/>
      <c r="M18" s="16">
        <f t="shared" si="2"/>
        <v>0</v>
      </c>
      <c r="N18" s="9">
        <v>2</v>
      </c>
      <c r="O18" s="9"/>
      <c r="P18" s="16">
        <f t="shared" si="3"/>
        <v>0</v>
      </c>
      <c r="Q18" s="9">
        <v>10</v>
      </c>
    </row>
    <row r="19" spans="1:17" ht="16">
      <c r="A19" s="7" t="s">
        <v>96</v>
      </c>
      <c r="B19" s="13"/>
      <c r="C19" s="11" t="s">
        <v>102</v>
      </c>
      <c r="D19" s="9">
        <v>1</v>
      </c>
      <c r="E19" s="9"/>
      <c r="F19" s="16">
        <f t="shared" si="0"/>
        <v>0</v>
      </c>
      <c r="G19" s="9">
        <v>1</v>
      </c>
      <c r="H19" s="9"/>
      <c r="I19" s="16">
        <f t="shared" si="1"/>
        <v>0</v>
      </c>
      <c r="J19" s="9">
        <v>7</v>
      </c>
      <c r="K19" s="9">
        <v>0</v>
      </c>
      <c r="L19" s="9"/>
      <c r="M19" s="16" t="e">
        <f t="shared" si="2"/>
        <v>#DIV/0!</v>
      </c>
      <c r="N19" s="9">
        <v>0</v>
      </c>
      <c r="O19" s="9"/>
      <c r="P19" s="16" t="e">
        <f t="shared" si="3"/>
        <v>#DIV/0!</v>
      </c>
      <c r="Q19" s="9">
        <v>3</v>
      </c>
    </row>
    <row r="20" spans="1:17" ht="16">
      <c r="A20" s="7" t="s">
        <v>97</v>
      </c>
      <c r="B20" s="13"/>
      <c r="C20" s="11" t="s">
        <v>102</v>
      </c>
      <c r="D20" s="9">
        <v>1</v>
      </c>
      <c r="E20" s="9"/>
      <c r="F20" s="16">
        <f t="shared" si="0"/>
        <v>0</v>
      </c>
      <c r="G20" s="9">
        <v>1</v>
      </c>
      <c r="H20" s="9"/>
      <c r="I20" s="16">
        <f t="shared" si="1"/>
        <v>0</v>
      </c>
      <c r="J20" s="9">
        <v>6</v>
      </c>
      <c r="K20" s="9">
        <v>1</v>
      </c>
      <c r="L20" s="9"/>
      <c r="M20" s="16">
        <f t="shared" si="2"/>
        <v>0</v>
      </c>
      <c r="N20" s="9">
        <v>1</v>
      </c>
      <c r="O20" s="9"/>
      <c r="P20" s="16">
        <f t="shared" si="3"/>
        <v>0</v>
      </c>
      <c r="Q20" s="9">
        <v>3</v>
      </c>
    </row>
    <row r="21" spans="1:17" ht="16">
      <c r="A21" s="7" t="s">
        <v>98</v>
      </c>
      <c r="B21" s="13"/>
      <c r="C21" s="11" t="s">
        <v>102</v>
      </c>
      <c r="D21" s="9">
        <v>1</v>
      </c>
      <c r="E21" s="9"/>
      <c r="F21" s="16">
        <f t="shared" si="0"/>
        <v>0</v>
      </c>
      <c r="G21" s="9">
        <v>1</v>
      </c>
      <c r="H21" s="9"/>
      <c r="I21" s="16">
        <f t="shared" si="1"/>
        <v>0</v>
      </c>
      <c r="J21" s="9">
        <v>4</v>
      </c>
      <c r="K21" s="9">
        <v>1</v>
      </c>
      <c r="L21" s="9"/>
      <c r="M21" s="16">
        <f t="shared" si="2"/>
        <v>0</v>
      </c>
      <c r="N21" s="9">
        <v>1</v>
      </c>
      <c r="O21" s="9"/>
      <c r="P21" s="16">
        <f t="shared" si="3"/>
        <v>0</v>
      </c>
      <c r="Q21" s="9">
        <v>3</v>
      </c>
    </row>
    <row r="22" spans="1:17" ht="16">
      <c r="A22" s="7" t="s">
        <v>99</v>
      </c>
      <c r="B22" s="13"/>
      <c r="C22" s="11" t="s">
        <v>102</v>
      </c>
      <c r="D22" s="9">
        <v>0</v>
      </c>
      <c r="E22" s="9"/>
      <c r="F22" s="16" t="e">
        <f t="shared" si="0"/>
        <v>#DIV/0!</v>
      </c>
      <c r="G22" s="9">
        <v>1</v>
      </c>
      <c r="H22" s="9"/>
      <c r="I22" s="16">
        <f t="shared" si="1"/>
        <v>0</v>
      </c>
      <c r="J22" s="9">
        <v>3</v>
      </c>
      <c r="K22" s="9">
        <v>0</v>
      </c>
      <c r="L22" s="9"/>
      <c r="M22" s="16" t="e">
        <f t="shared" si="2"/>
        <v>#DIV/0!</v>
      </c>
      <c r="N22" s="9">
        <v>1</v>
      </c>
      <c r="O22" s="9"/>
      <c r="P22" s="16">
        <f t="shared" si="3"/>
        <v>0</v>
      </c>
      <c r="Q22" s="9">
        <v>4</v>
      </c>
    </row>
    <row r="23" spans="1:17" ht="16">
      <c r="A23" s="20" t="s">
        <v>43</v>
      </c>
      <c r="B23" s="20"/>
      <c r="C23" s="15"/>
      <c r="D23" s="15">
        <f>SUM(D14:D22)</f>
        <v>14</v>
      </c>
      <c r="E23" s="15">
        <f>SUM(E14:E22)</f>
        <v>0</v>
      </c>
      <c r="F23" s="17">
        <f t="shared" si="0"/>
        <v>0</v>
      </c>
      <c r="G23" s="15">
        <f>SUM(G14:G22)</f>
        <v>32</v>
      </c>
      <c r="H23" s="15">
        <f>SUM(H14:H22)</f>
        <v>0</v>
      </c>
      <c r="I23" s="17">
        <f t="shared" si="1"/>
        <v>0</v>
      </c>
      <c r="J23" s="15">
        <f>SUM(J14:J22)</f>
        <v>166</v>
      </c>
      <c r="K23" s="15">
        <f>SUM(K14:K22)</f>
        <v>8</v>
      </c>
      <c r="L23" s="15">
        <f>SUM(L14:L22)</f>
        <v>0</v>
      </c>
      <c r="M23" s="17">
        <f t="shared" si="2"/>
        <v>0</v>
      </c>
      <c r="N23" s="15">
        <f>SUM(N14:N22)</f>
        <v>17</v>
      </c>
      <c r="O23" s="15">
        <f>SUM(O14:O22)</f>
        <v>0</v>
      </c>
      <c r="P23" s="17">
        <f t="shared" si="3"/>
        <v>0</v>
      </c>
      <c r="Q23" s="15">
        <f>SUM(Q14:Q22)</f>
        <v>97</v>
      </c>
    </row>
  </sheetData>
  <mergeCells count="7">
    <mergeCell ref="A23:B23"/>
    <mergeCell ref="A1:A2"/>
    <mergeCell ref="B1:B2"/>
    <mergeCell ref="D1:J1"/>
    <mergeCell ref="K1:Q1"/>
    <mergeCell ref="A12:B12"/>
    <mergeCell ref="C1:C2"/>
  </mergeCells>
  <phoneticPr fontId="1" type="noConversion"/>
  <conditionalFormatting sqref="A1">
    <cfRule type="duplicateValues" dxfId="0" priority="9"/>
  </conditionalFormatting>
  <conditionalFormatting sqref="F3:F11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3:F22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:I11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3:I2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:M1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3:M2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3:P1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3:P2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到客户</vt:lpstr>
      <vt:lpstr>到门店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ptac-duanjiashuang</dc:creator>
  <cp:lastModifiedBy>office user</cp:lastModifiedBy>
  <dcterms:created xsi:type="dcterms:W3CDTF">2026-03-30T05:53:23Z</dcterms:created>
  <dcterms:modified xsi:type="dcterms:W3CDTF">2026-04-02T08:50:19Z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79BFE7DB76734E8595B23C19B34B1966_11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