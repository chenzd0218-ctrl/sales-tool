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20" tabRatio="600" firstSheet="0" activeTab="0" autoFilterDateGrouping="1"/>
  </bookViews>
  <sheets>
    <sheet name="到客户" sheetId="1" state="visible" r:id="rId1"/>
    <sheet name="到门店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1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0"/>
      <sz val="11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511703848384"/>
      </patternFill>
    </fill>
    <fill>
      <patternFill patternType="solid">
        <fgColor rgb="FFC00000"/>
        <bgColor theme="4" tint="0.7999511703848384"/>
      </patternFill>
    </fill>
    <fill>
      <patternFill patternType="solid">
        <fgColor rgb="FF92D050"/>
        <bgColor theme="4" tint="0.7999511703848384"/>
      </patternFill>
    </fill>
    <fill>
      <patternFill patternType="solid">
        <fgColor rgb="FF00B0F0"/>
        <bgColor theme="4" tint="0.799951170384838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9" fontId="1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6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164" fontId="6" fillId="7" borderId="3" applyAlignment="1" pivotButton="0" quotePrefix="0" xfId="0">
      <alignment horizontal="center" vertical="center"/>
    </xf>
    <xf numFmtId="10" fontId="8" fillId="0" borderId="1" applyAlignment="1" pivotButton="0" quotePrefix="0" xfId="1">
      <alignment horizontal="center" vertical="center" wrapText="1"/>
    </xf>
    <xf numFmtId="10" fontId="5" fillId="2" borderId="1" applyAlignment="1" pivotButton="0" quotePrefix="0" xfId="1">
      <alignment horizontal="center" vertical="center" wrapText="1"/>
    </xf>
    <xf numFmtId="10" fontId="3" fillId="0" borderId="1" applyAlignment="1" pivotButton="0" quotePrefix="0" xfId="1">
      <alignment horizontal="center" vertical="center" wrapText="1"/>
    </xf>
    <xf numFmtId="10" fontId="2" fillId="2" borderId="1" applyAlignment="1" pivotButton="0" quotePrefix="0" xfId="1">
      <alignment horizontal="center" vertical="center" wrapText="1"/>
    </xf>
    <xf numFmtId="0" fontId="0" fillId="0" borderId="0" pivotButton="0" quotePrefix="0" xfId="0"/>
    <xf numFmtId="164" fontId="6" fillId="7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6" pivotButton="0" quotePrefix="0" xfId="0"/>
    <xf numFmtId="0" fontId="0" fillId="0" borderId="3" pivotButton="0" quotePrefix="0" xfId="0"/>
    <xf numFmtId="164" fontId="7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tabSelected="1" zoomScale="75" workbookViewId="0">
      <selection activeCell="F42" sqref="F42"/>
    </sheetView>
  </sheetViews>
  <sheetFormatPr baseColWidth="10" defaultRowHeight="14"/>
  <cols>
    <col width="37.6640625" bestFit="1" customWidth="1" style="25" min="1" max="1"/>
    <col width="10.5" customWidth="1" style="25" min="2" max="36"/>
  </cols>
  <sheetData>
    <row r="1" ht="126" customHeight="1" s="25">
      <c r="A1" s="4" t="inlineStr">
        <is>
          <t>渠道名称</t>
        </is>
      </c>
      <c r="B1" s="4" t="inlineStr">
        <is>
          <t>畅享 90 Plus 分货</t>
        </is>
      </c>
      <c r="C1" s="4" t="inlineStr">
        <is>
          <t>畅享 90 Pro Max 分货</t>
        </is>
      </c>
      <c r="D1" s="4" t="inlineStr">
        <is>
          <t>合计分货</t>
        </is>
      </c>
      <c r="E1" s="5" t="inlineStr">
        <is>
          <t>畅享 90 Plus 
预售目标</t>
        </is>
      </c>
      <c r="F1" s="5" t="inlineStr">
        <is>
          <t>畅享 90 Plus 
预售达成</t>
        </is>
      </c>
      <c r="G1" s="5" t="inlineStr">
        <is>
          <t>畅享 90 Plus 
预售达成率</t>
        </is>
      </c>
      <c r="H1" s="5" t="inlineStr">
        <is>
          <t>畅享 90 Plus 
首销日目标</t>
        </is>
      </c>
      <c r="I1" s="5" t="inlineStr">
        <is>
          <t>畅享 90 Plus 
首销日达成</t>
        </is>
      </c>
      <c r="J1" s="5" t="inlineStr">
        <is>
          <t>畅享 90 Plus 
首销日达成率</t>
        </is>
      </c>
      <c r="K1" s="5" t="inlineStr">
        <is>
          <t>畅享 90 Plus 
首销5日目标</t>
        </is>
      </c>
      <c r="L1" s="5" t="inlineStr">
        <is>
          <t>畅享 90 Plus 
首销5日达成</t>
        </is>
      </c>
      <c r="M1" s="5" t="inlineStr">
        <is>
          <t>畅享 90 Plus 
首销5日达成率</t>
        </is>
      </c>
      <c r="N1" s="6" t="inlineStr">
        <is>
          <t>畅享 90 Pro Max
预售目标</t>
        </is>
      </c>
      <c r="O1" s="6" t="inlineStr">
        <is>
          <t xml:space="preserve">
畅享 90 Pro Max
预售达成</t>
        </is>
      </c>
      <c r="P1" s="6" t="inlineStr">
        <is>
          <t>畅享 90 Pro Max
预售达成率</t>
        </is>
      </c>
      <c r="Q1" s="6" t="inlineStr">
        <is>
          <t>畅享 90 Pro Max
首销日目标</t>
        </is>
      </c>
      <c r="R1" s="6" t="inlineStr">
        <is>
          <t>畅享 90 Pro Max
首销日达成</t>
        </is>
      </c>
      <c r="S1" s="6" t="inlineStr">
        <is>
          <t>畅享 90 Pro Max
首销日达成率</t>
        </is>
      </c>
      <c r="T1" s="6" t="inlineStr">
        <is>
          <t>畅享 90 Pro Max
首销5日目标</t>
        </is>
      </c>
      <c r="U1" s="6" t="inlineStr">
        <is>
          <t>畅享 90 Pro Max
首销5日达成</t>
        </is>
      </c>
      <c r="V1" s="6" t="inlineStr">
        <is>
          <t>畅享 90 Pro Max
首销5日达成率</t>
        </is>
      </c>
      <c r="W1" s="4" t="inlineStr">
        <is>
          <t>华为畅享 90 Plus 8GB+128GB 星海蓝 双卡 全网通版</t>
        </is>
      </c>
      <c r="X1" s="4" t="inlineStr">
        <is>
          <t>华为畅享 90 Plus 8GB+128GB 星空黑 双卡 全网通版</t>
        </is>
      </c>
      <c r="Y1" s="4" t="inlineStr">
        <is>
          <t>华为畅享 90 Plus 8GB+128GB 羽沙白 双卡 全网通版</t>
        </is>
      </c>
      <c r="Z1" s="4" t="inlineStr">
        <is>
          <t>华为畅享 90 Plus 8GB+256GB 星海蓝 双卡 全网通版</t>
        </is>
      </c>
      <c r="AA1" s="4" t="inlineStr">
        <is>
          <t>华为畅享 90 Plus 8GB+256GB 星空黑 双卡 全网通版</t>
        </is>
      </c>
      <c r="AB1" s="4" t="inlineStr">
        <is>
          <t>华为畅享 90 Plus 8GB+256GB 羽沙白 双卡 全网通版</t>
        </is>
      </c>
      <c r="AC1" s="4" t="inlineStr">
        <is>
          <t>华为畅享 90 Pro Max 8GB+256GB 晨曦金 双卡 全网通版</t>
        </is>
      </c>
      <c r="AD1" s="4" t="inlineStr">
        <is>
          <t>华为畅享 90 Pro Max 8GB+256GB 飞天青 双卡 全网通版</t>
        </is>
      </c>
      <c r="AE1" s="4" t="inlineStr">
        <is>
          <t>华为畅享 90 Pro Max 8GB+256GB 雪域白 双卡 全网通版</t>
        </is>
      </c>
      <c r="AF1" s="4" t="inlineStr">
        <is>
          <t>华为畅享 90 Pro Max 8GB+256GB 曜金黑 双卡 全网通版</t>
        </is>
      </c>
      <c r="AG1" s="4" t="inlineStr">
        <is>
          <t>华为畅享 90 Pro Max 8GB+512GB 晨曦金 双卡 全网通版</t>
        </is>
      </c>
      <c r="AH1" s="4" t="inlineStr">
        <is>
          <t>华为畅享 90 Pro Max 8GB+512GB 飞天青 双卡 全网通版</t>
        </is>
      </c>
      <c r="AI1" s="4" t="inlineStr">
        <is>
          <t>华为畅享 90 Pro Max 8GB+512GB 雪域白 双卡 全网通版</t>
        </is>
      </c>
      <c r="AJ1" s="4" t="inlineStr">
        <is>
          <t>华为畅享 90 Pro Max 8GB+512GB 曜金黑 双卡 全网通版</t>
        </is>
      </c>
    </row>
    <row r="2" ht="18" customHeight="1" s="25">
      <c r="A2" s="1" t="inlineStr">
        <is>
          <t>云南联启通讯有限公司</t>
        </is>
      </c>
      <c r="B2" s="3" t="n">
        <v>74</v>
      </c>
      <c r="C2" s="3" t="n">
        <v>80</v>
      </c>
      <c r="D2" s="3" t="n">
        <v>154</v>
      </c>
      <c r="E2" s="1" t="n">
        <v>14</v>
      </c>
      <c r="F2" s="1" t="n"/>
      <c r="G2" s="23">
        <f>F2/E2</f>
        <v/>
      </c>
      <c r="H2" s="1" t="n">
        <v>14</v>
      </c>
      <c r="I2" s="1" t="n">
        <v>1</v>
      </c>
      <c r="J2" s="23">
        <f>I2/H2</f>
        <v/>
      </c>
      <c r="K2" s="1" t="n">
        <v>32</v>
      </c>
      <c r="L2" s="1" t="n">
        <v>1</v>
      </c>
      <c r="M2" s="23">
        <f>L2/K2</f>
        <v/>
      </c>
      <c r="N2" s="1" t="n">
        <v>14</v>
      </c>
      <c r="O2" s="1" t="n"/>
      <c r="P2" s="23">
        <f>O2/N2</f>
        <v/>
      </c>
      <c r="Q2" s="1" t="n">
        <v>14</v>
      </c>
      <c r="R2" s="1" t="n">
        <v>1</v>
      </c>
      <c r="S2" s="23">
        <f>R2/Q2</f>
        <v/>
      </c>
      <c r="T2" s="1" t="n">
        <v>32</v>
      </c>
      <c r="U2" s="1" t="n">
        <v>1</v>
      </c>
      <c r="V2" s="23">
        <f>U2/T2</f>
        <v/>
      </c>
      <c r="W2" s="1" t="n">
        <v>3</v>
      </c>
      <c r="X2" s="1" t="n">
        <v>15</v>
      </c>
      <c r="Y2" s="1" t="n">
        <v>2</v>
      </c>
      <c r="Z2" s="1" t="n">
        <v>10</v>
      </c>
      <c r="AA2" s="1" t="n">
        <v>30</v>
      </c>
      <c r="AB2" s="1" t="n">
        <v>14</v>
      </c>
      <c r="AC2" s="1" t="n">
        <v>5</v>
      </c>
      <c r="AD2" s="1" t="n">
        <v>15</v>
      </c>
      <c r="AE2" s="1" t="n">
        <v>10</v>
      </c>
      <c r="AF2" s="1" t="n">
        <v>25</v>
      </c>
      <c r="AG2" s="1" t="n">
        <v>4</v>
      </c>
      <c r="AH2" s="1" t="n">
        <v>4</v>
      </c>
      <c r="AI2" s="1" t="n">
        <v>5</v>
      </c>
      <c r="AJ2" s="1" t="n">
        <v>12</v>
      </c>
    </row>
    <row r="3" ht="18" customHeight="1" s="25">
      <c r="A3" s="1" t="inlineStr">
        <is>
          <t>宣威市朝龙商贸有限公司</t>
        </is>
      </c>
      <c r="B3" s="3" t="n">
        <v>18</v>
      </c>
      <c r="C3" s="3" t="n">
        <v>26</v>
      </c>
      <c r="D3" s="3" t="n">
        <v>44</v>
      </c>
      <c r="E3" s="1" t="n">
        <v>9</v>
      </c>
      <c r="F3" s="1" t="n"/>
      <c r="G3" s="23">
        <f>F3/E3</f>
        <v/>
      </c>
      <c r="H3" s="1" t="n">
        <v>8</v>
      </c>
      <c r="I3" s="1" t="n">
        <v>0</v>
      </c>
      <c r="J3" s="23">
        <f>I3/H3</f>
        <v/>
      </c>
      <c r="K3" s="1" t="n">
        <v>18</v>
      </c>
      <c r="L3" s="1" t="n">
        <v>0</v>
      </c>
      <c r="M3" s="23">
        <f>L3/K3</f>
        <v/>
      </c>
      <c r="N3" s="1" t="n">
        <v>9</v>
      </c>
      <c r="O3" s="1" t="n"/>
      <c r="P3" s="23">
        <f>O3/N3</f>
        <v/>
      </c>
      <c r="Q3" s="1" t="n">
        <v>8</v>
      </c>
      <c r="R3" s="1" t="n">
        <v>0</v>
      </c>
      <c r="S3" s="23">
        <f>R3/Q3</f>
        <v/>
      </c>
      <c r="T3" s="1" t="n">
        <v>18</v>
      </c>
      <c r="U3" s="1" t="n">
        <v>0</v>
      </c>
      <c r="V3" s="23">
        <f>U3/T3</f>
        <v/>
      </c>
      <c r="W3" s="1" t="n">
        <v>2</v>
      </c>
      <c r="X3" s="1" t="n">
        <v>2</v>
      </c>
      <c r="Y3" s="1" t="n">
        <v>1</v>
      </c>
      <c r="Z3" s="1" t="n">
        <v>4</v>
      </c>
      <c r="AA3" s="1" t="n">
        <v>7</v>
      </c>
      <c r="AB3" s="1" t="n">
        <v>2</v>
      </c>
      <c r="AC3" s="1" t="n">
        <v>2</v>
      </c>
      <c r="AD3" s="1" t="n">
        <v>5</v>
      </c>
      <c r="AE3" s="1" t="n">
        <v>5</v>
      </c>
      <c r="AF3" s="1" t="n">
        <v>7</v>
      </c>
      <c r="AG3" s="1" t="n">
        <v>2</v>
      </c>
      <c r="AH3" s="1" t="n">
        <v>2</v>
      </c>
      <c r="AI3" s="1" t="n">
        <v>2</v>
      </c>
      <c r="AJ3" s="1" t="n">
        <v>1</v>
      </c>
    </row>
    <row r="4" ht="18" customHeight="1" s="25">
      <c r="A4" s="1" t="inlineStr">
        <is>
          <t>宣威市同文通讯设备有限公司</t>
        </is>
      </c>
      <c r="B4" s="3" t="n">
        <v>16</v>
      </c>
      <c r="C4" s="3" t="n">
        <v>26</v>
      </c>
      <c r="D4" s="3" t="n">
        <v>42</v>
      </c>
      <c r="E4" s="1" t="n">
        <v>2</v>
      </c>
      <c r="F4" s="1" t="n"/>
      <c r="G4" s="23">
        <f>F4/E4</f>
        <v/>
      </c>
      <c r="H4" s="1" t="n">
        <v>2</v>
      </c>
      <c r="I4" s="1" t="n">
        <v>0</v>
      </c>
      <c r="J4" s="23">
        <f>I4/H4</f>
        <v/>
      </c>
      <c r="K4" s="1" t="n">
        <v>5</v>
      </c>
      <c r="L4" s="1" t="n">
        <v>0</v>
      </c>
      <c r="M4" s="23">
        <f>L4/K4</f>
        <v/>
      </c>
      <c r="N4" s="1" t="n">
        <v>2</v>
      </c>
      <c r="O4" s="1" t="n"/>
      <c r="P4" s="23">
        <f>O4/N4</f>
        <v/>
      </c>
      <c r="Q4" s="1" t="n">
        <v>2</v>
      </c>
      <c r="R4" s="1" t="n">
        <v>0</v>
      </c>
      <c r="S4" s="23">
        <f>R4/Q4</f>
        <v/>
      </c>
      <c r="T4" s="1" t="n">
        <v>5</v>
      </c>
      <c r="U4" s="1" t="n">
        <v>0</v>
      </c>
      <c r="V4" s="23">
        <f>U4/T4</f>
        <v/>
      </c>
      <c r="W4" s="1" t="n">
        <v>2</v>
      </c>
      <c r="X4" s="1" t="n">
        <v>2</v>
      </c>
      <c r="Y4" s="1" t="n">
        <v>1</v>
      </c>
      <c r="Z4" s="1" t="n">
        <v>4</v>
      </c>
      <c r="AA4" s="1" t="n">
        <v>5</v>
      </c>
      <c r="AB4" s="1" t="n">
        <v>2</v>
      </c>
      <c r="AC4" s="1" t="n">
        <v>2</v>
      </c>
      <c r="AD4" s="1" t="n">
        <v>6</v>
      </c>
      <c r="AE4" s="1" t="n">
        <v>5</v>
      </c>
      <c r="AF4" s="1" t="n">
        <v>7</v>
      </c>
      <c r="AG4" s="1" t="n">
        <v>1</v>
      </c>
      <c r="AH4" s="1" t="n">
        <v>1</v>
      </c>
      <c r="AI4" s="1" t="n">
        <v>2</v>
      </c>
      <c r="AJ4" s="1" t="n">
        <v>2</v>
      </c>
    </row>
    <row r="5" ht="18" customHeight="1" s="25">
      <c r="A5" s="1" t="inlineStr">
        <is>
          <t>宣威市联启通讯卖场</t>
        </is>
      </c>
      <c r="B5" s="3" t="n">
        <v>10</v>
      </c>
      <c r="C5" s="3" t="n">
        <v>0</v>
      </c>
      <c r="D5" s="3" t="n">
        <v>10</v>
      </c>
      <c r="E5" s="1" t="n">
        <v>0</v>
      </c>
      <c r="F5" s="1" t="n"/>
      <c r="G5" s="23">
        <f>F5/E5</f>
        <v/>
      </c>
      <c r="H5" s="1" t="n">
        <v>1</v>
      </c>
      <c r="I5" s="1" t="n">
        <v>0</v>
      </c>
      <c r="J5" s="23">
        <f>I5/H5</f>
        <v/>
      </c>
      <c r="K5" s="1" t="n">
        <v>1</v>
      </c>
      <c r="L5" s="1" t="n">
        <v>0</v>
      </c>
      <c r="M5" s="23">
        <f>L5/K5</f>
        <v/>
      </c>
      <c r="N5" s="1" t="n">
        <v>0</v>
      </c>
      <c r="O5" s="1" t="n"/>
      <c r="P5" s="23">
        <f>O5/N5</f>
        <v/>
      </c>
      <c r="Q5" s="1" t="n">
        <v>1</v>
      </c>
      <c r="R5" s="1" t="n">
        <v>0</v>
      </c>
      <c r="S5" s="23">
        <f>R5/Q5</f>
        <v/>
      </c>
      <c r="T5" s="1" t="n">
        <v>1</v>
      </c>
      <c r="U5" s="1" t="n">
        <v>0</v>
      </c>
      <c r="V5" s="23">
        <f>U5/T5</f>
        <v/>
      </c>
      <c r="W5" s="1" t="n"/>
      <c r="X5" s="1" t="n">
        <v>5</v>
      </c>
      <c r="Y5" s="1" t="n"/>
      <c r="Z5" s="1" t="n">
        <v>2</v>
      </c>
      <c r="AA5" s="1" t="n">
        <v>3</v>
      </c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 ht="18" customHeight="1" s="25">
      <c r="A6" s="1" t="inlineStr">
        <is>
          <t>宣威市热水镇旺利通迅</t>
        </is>
      </c>
      <c r="B6" s="3" t="n">
        <v>5</v>
      </c>
      <c r="C6" s="3" t="n">
        <v>4</v>
      </c>
      <c r="D6" s="3" t="n">
        <v>9</v>
      </c>
      <c r="E6" s="1" t="n">
        <v>0</v>
      </c>
      <c r="F6" s="1" t="n"/>
      <c r="G6" s="23">
        <f>F6/E6</f>
        <v/>
      </c>
      <c r="H6" s="1" t="n">
        <v>1</v>
      </c>
      <c r="I6" s="1" t="n">
        <v>0</v>
      </c>
      <c r="J6" s="23">
        <f>I6/H6</f>
        <v/>
      </c>
      <c r="K6" s="1" t="n">
        <v>1</v>
      </c>
      <c r="L6" s="1" t="n">
        <v>0</v>
      </c>
      <c r="M6" s="23">
        <f>L6/K6</f>
        <v/>
      </c>
      <c r="N6" s="1" t="n">
        <v>0</v>
      </c>
      <c r="O6" s="1" t="n"/>
      <c r="P6" s="23">
        <f>O6/N6</f>
        <v/>
      </c>
      <c r="Q6" s="1" t="n">
        <v>1</v>
      </c>
      <c r="R6" s="1" t="n">
        <v>0</v>
      </c>
      <c r="S6" s="23">
        <f>R6/Q6</f>
        <v/>
      </c>
      <c r="T6" s="1" t="n">
        <v>1</v>
      </c>
      <c r="U6" s="1" t="n">
        <v>0</v>
      </c>
      <c r="V6" s="23">
        <f>U6/T6</f>
        <v/>
      </c>
      <c r="W6" s="1" t="n"/>
      <c r="X6" s="1" t="n"/>
      <c r="Y6" s="1" t="n"/>
      <c r="Z6" s="1" t="n">
        <v>2</v>
      </c>
      <c r="AA6" s="1" t="n">
        <v>3</v>
      </c>
      <c r="AB6" s="1" t="n"/>
      <c r="AC6" s="1" t="n"/>
      <c r="AD6" s="1" t="n">
        <v>1</v>
      </c>
      <c r="AE6" s="1" t="n"/>
      <c r="AF6" s="1" t="n">
        <v>1</v>
      </c>
      <c r="AG6" s="1" t="n">
        <v>1</v>
      </c>
      <c r="AH6" s="1" t="n"/>
      <c r="AI6" s="1" t="n"/>
      <c r="AJ6" s="1" t="n">
        <v>1</v>
      </c>
    </row>
    <row r="7" ht="18" customHeight="1" s="25">
      <c r="A7" s="1" t="inlineStr">
        <is>
          <t>宣威市板桥街道联启通讯经营部</t>
        </is>
      </c>
      <c r="B7" s="3" t="n">
        <v>2</v>
      </c>
      <c r="C7" s="3" t="n">
        <v>6</v>
      </c>
      <c r="D7" s="3" t="n">
        <v>8</v>
      </c>
      <c r="E7" s="1" t="n">
        <v>0</v>
      </c>
      <c r="F7" s="1" t="n"/>
      <c r="G7" s="23">
        <f>F7/E7</f>
        <v/>
      </c>
      <c r="H7" s="1" t="n">
        <v>1</v>
      </c>
      <c r="I7" s="1" t="n">
        <v>0</v>
      </c>
      <c r="J7" s="23">
        <f>I7/H7</f>
        <v/>
      </c>
      <c r="K7" s="1" t="n">
        <v>1</v>
      </c>
      <c r="L7" s="1" t="n">
        <v>0</v>
      </c>
      <c r="M7" s="23">
        <f>L7/K7</f>
        <v/>
      </c>
      <c r="N7" s="1" t="n">
        <v>0</v>
      </c>
      <c r="O7" s="1" t="n"/>
      <c r="P7" s="23">
        <f>O7/N7</f>
        <v/>
      </c>
      <c r="Q7" s="1" t="n">
        <v>1</v>
      </c>
      <c r="R7" s="1" t="n">
        <v>0</v>
      </c>
      <c r="S7" s="23">
        <f>R7/Q7</f>
        <v/>
      </c>
      <c r="T7" s="1" t="n">
        <v>1</v>
      </c>
      <c r="U7" s="1" t="n">
        <v>0</v>
      </c>
      <c r="V7" s="23">
        <f>U7/T7</f>
        <v/>
      </c>
      <c r="W7" s="1" t="n"/>
      <c r="X7" s="1" t="n">
        <v>1</v>
      </c>
      <c r="Y7" s="1" t="n"/>
      <c r="Z7" s="1" t="n"/>
      <c r="AA7" s="1" t="n"/>
      <c r="AB7" s="1" t="n">
        <v>1</v>
      </c>
      <c r="AC7" s="1" t="n">
        <v>1</v>
      </c>
      <c r="AD7" s="1" t="n"/>
      <c r="AE7" s="1" t="n">
        <v>1</v>
      </c>
      <c r="AF7" s="1" t="n">
        <v>1</v>
      </c>
      <c r="AG7" s="1" t="n">
        <v>1</v>
      </c>
      <c r="AH7" s="1" t="n"/>
      <c r="AI7" s="1" t="n">
        <v>1</v>
      </c>
      <c r="AJ7" s="1" t="n">
        <v>1</v>
      </c>
    </row>
    <row r="8" ht="18" customHeight="1" s="25">
      <c r="A8" s="1" t="inlineStr">
        <is>
          <t>宣威市安捷通讯经营部</t>
        </is>
      </c>
      <c r="B8" s="3" t="n">
        <v>3</v>
      </c>
      <c r="C8" s="3" t="n">
        <v>3</v>
      </c>
      <c r="D8" s="3" t="n">
        <v>6</v>
      </c>
      <c r="E8" s="1" t="n">
        <v>0</v>
      </c>
      <c r="F8" s="1" t="n"/>
      <c r="G8" s="23">
        <f>F8/E8</f>
        <v/>
      </c>
      <c r="H8" s="1" t="n">
        <v>1</v>
      </c>
      <c r="I8" s="1" t="n">
        <v>0</v>
      </c>
      <c r="J8" s="23">
        <f>I8/H8</f>
        <v/>
      </c>
      <c r="K8" s="1" t="n">
        <v>1</v>
      </c>
      <c r="L8" s="1" t="n">
        <v>0</v>
      </c>
      <c r="M8" s="23">
        <f>L8/K8</f>
        <v/>
      </c>
      <c r="N8" s="1" t="n">
        <v>0</v>
      </c>
      <c r="O8" s="1" t="n"/>
      <c r="P8" s="23">
        <f>O8/N8</f>
        <v/>
      </c>
      <c r="Q8" s="1" t="n">
        <v>1</v>
      </c>
      <c r="R8" s="1" t="n">
        <v>0</v>
      </c>
      <c r="S8" s="23">
        <f>R8/Q8</f>
        <v/>
      </c>
      <c r="T8" s="1" t="n">
        <v>1</v>
      </c>
      <c r="U8" s="1" t="n">
        <v>0</v>
      </c>
      <c r="V8" s="23">
        <f>U8/T8</f>
        <v/>
      </c>
      <c r="W8" s="1" t="n"/>
      <c r="X8" s="1" t="n"/>
      <c r="Y8" s="1" t="n">
        <v>0</v>
      </c>
      <c r="Z8" s="1" t="n">
        <v>1</v>
      </c>
      <c r="AA8" s="1" t="n">
        <v>2</v>
      </c>
      <c r="AB8" s="1" t="n"/>
      <c r="AC8" s="1" t="n">
        <v>1</v>
      </c>
      <c r="AD8" s="1" t="n">
        <v>1</v>
      </c>
      <c r="AE8" s="1" t="n"/>
      <c r="AF8" s="1" t="n"/>
      <c r="AG8" s="1" t="n"/>
      <c r="AH8" s="1" t="n"/>
      <c r="AI8" s="1" t="n"/>
      <c r="AJ8" s="1" t="n">
        <v>1</v>
      </c>
    </row>
    <row r="9" ht="18" customHeight="1" s="25">
      <c r="A9" s="1" t="inlineStr">
        <is>
          <t>宣威市嘉合通讯器材销售部</t>
        </is>
      </c>
      <c r="B9" s="3" t="n">
        <v>3</v>
      </c>
      <c r="C9" s="3" t="n">
        <v>3</v>
      </c>
      <c r="D9" s="3" t="n">
        <v>6</v>
      </c>
      <c r="E9" s="1" t="n">
        <v>0</v>
      </c>
      <c r="F9" s="1" t="n"/>
      <c r="G9" s="23">
        <f>F9/E9</f>
        <v/>
      </c>
      <c r="H9" s="1" t="n">
        <v>1</v>
      </c>
      <c r="I9" s="1" t="n">
        <v>0</v>
      </c>
      <c r="J9" s="23">
        <f>I9/H9</f>
        <v/>
      </c>
      <c r="K9" s="1" t="n">
        <v>1</v>
      </c>
      <c r="L9" s="1" t="n">
        <v>0</v>
      </c>
      <c r="M9" s="23">
        <f>L9/K9</f>
        <v/>
      </c>
      <c r="N9" s="1" t="n">
        <v>0</v>
      </c>
      <c r="O9" s="1" t="n"/>
      <c r="P9" s="23">
        <f>O9/N9</f>
        <v/>
      </c>
      <c r="Q9" s="1" t="n">
        <v>1</v>
      </c>
      <c r="R9" s="1" t="n">
        <v>0</v>
      </c>
      <c r="S9" s="23">
        <f>R9/Q9</f>
        <v/>
      </c>
      <c r="T9" s="1" t="n">
        <v>1</v>
      </c>
      <c r="U9" s="1" t="n">
        <v>0</v>
      </c>
      <c r="V9" s="23">
        <f>U9/T9</f>
        <v/>
      </c>
      <c r="W9" s="1" t="n"/>
      <c r="X9" s="1" t="n"/>
      <c r="Y9" s="1" t="n"/>
      <c r="Z9" s="1" t="n">
        <v>1</v>
      </c>
      <c r="AA9" s="1" t="n">
        <v>2</v>
      </c>
      <c r="AB9" s="1" t="n"/>
      <c r="AC9" s="1" t="n"/>
      <c r="AD9" s="1" t="n">
        <v>2</v>
      </c>
      <c r="AE9" s="1" t="n">
        <v>1</v>
      </c>
      <c r="AF9" s="1" t="n"/>
      <c r="AG9" s="1" t="n"/>
      <c r="AH9" s="1" t="n"/>
      <c r="AI9" s="1" t="n"/>
      <c r="AJ9" s="1" t="n"/>
    </row>
    <row r="10" ht="18" customHeight="1" s="25">
      <c r="A10" s="1" t="inlineStr">
        <is>
          <t>宣威市来宾街道通讯设备门市部</t>
        </is>
      </c>
      <c r="B10" s="3" t="n">
        <v>3</v>
      </c>
      <c r="C10" s="3" t="n">
        <v>3</v>
      </c>
      <c r="D10" s="3" t="n">
        <v>6</v>
      </c>
      <c r="E10" s="1" t="n">
        <v>0</v>
      </c>
      <c r="F10" s="1" t="n"/>
      <c r="G10" s="23">
        <f>F10/E10</f>
        <v/>
      </c>
      <c r="H10" s="1" t="n">
        <v>1</v>
      </c>
      <c r="I10" s="1" t="n">
        <v>0</v>
      </c>
      <c r="J10" s="23">
        <f>I10/H10</f>
        <v/>
      </c>
      <c r="K10" s="1" t="n">
        <v>1</v>
      </c>
      <c r="L10" s="1" t="n">
        <v>0</v>
      </c>
      <c r="M10" s="23">
        <f>L10/K10</f>
        <v/>
      </c>
      <c r="N10" s="1" t="n">
        <v>0</v>
      </c>
      <c r="O10" s="1" t="n"/>
      <c r="P10" s="23">
        <f>O10/N10</f>
        <v/>
      </c>
      <c r="Q10" s="1" t="n">
        <v>1</v>
      </c>
      <c r="R10" s="1" t="n">
        <v>0</v>
      </c>
      <c r="S10" s="23">
        <f>R10/Q10</f>
        <v/>
      </c>
      <c r="T10" s="1" t="n">
        <v>1</v>
      </c>
      <c r="U10" s="1" t="n">
        <v>0</v>
      </c>
      <c r="V10" s="23">
        <f>U10/T10</f>
        <v/>
      </c>
      <c r="W10" s="1" t="n">
        <v>1</v>
      </c>
      <c r="X10" s="1" t="n"/>
      <c r="Y10" s="1" t="n"/>
      <c r="Z10" s="1" t="n">
        <v>1</v>
      </c>
      <c r="AA10" s="1" t="n">
        <v>1</v>
      </c>
      <c r="AB10" s="1" t="n"/>
      <c r="AC10" s="1" t="n"/>
      <c r="AD10" s="1" t="n">
        <v>1</v>
      </c>
      <c r="AE10" s="1" t="n"/>
      <c r="AF10" s="1" t="n">
        <v>1</v>
      </c>
      <c r="AG10" s="1" t="n"/>
      <c r="AH10" s="1" t="n"/>
      <c r="AI10" s="1" t="n"/>
      <c r="AJ10" s="1" t="n">
        <v>1</v>
      </c>
    </row>
    <row r="11" ht="18" customHeight="1" s="25">
      <c r="A11" s="1" t="inlineStr">
        <is>
          <t>宣威市龙场镇恒泰通讯手机专卖店</t>
        </is>
      </c>
      <c r="B11" s="3" t="n">
        <v>1</v>
      </c>
      <c r="C11" s="3" t="n">
        <v>5</v>
      </c>
      <c r="D11" s="3" t="n">
        <v>6</v>
      </c>
      <c r="E11" s="1" t="n">
        <v>0</v>
      </c>
      <c r="F11" s="1" t="n"/>
      <c r="G11" s="23">
        <f>F11/E11</f>
        <v/>
      </c>
      <c r="H11" s="1" t="n">
        <v>1</v>
      </c>
      <c r="I11" s="1" t="n">
        <v>0</v>
      </c>
      <c r="J11" s="23">
        <f>I11/H11</f>
        <v/>
      </c>
      <c r="K11" s="1" t="n">
        <v>1</v>
      </c>
      <c r="L11" s="1" t="n">
        <v>0</v>
      </c>
      <c r="M11" s="23">
        <f>L11/K11</f>
        <v/>
      </c>
      <c r="N11" s="1" t="n">
        <v>0</v>
      </c>
      <c r="O11" s="1" t="n"/>
      <c r="P11" s="23">
        <f>O11/N11</f>
        <v/>
      </c>
      <c r="Q11" s="1" t="n">
        <v>1</v>
      </c>
      <c r="R11" s="1" t="n">
        <v>0</v>
      </c>
      <c r="S11" s="23">
        <f>R11/Q11</f>
        <v/>
      </c>
      <c r="T11" s="1" t="n">
        <v>1</v>
      </c>
      <c r="U11" s="1" t="n">
        <v>0</v>
      </c>
      <c r="V11" s="23">
        <f>U11/T11</f>
        <v/>
      </c>
      <c r="W11" s="1" t="n"/>
      <c r="X11" s="1" t="n"/>
      <c r="Y11" s="1" t="n"/>
      <c r="Z11" s="1" t="n"/>
      <c r="AA11" s="1" t="n">
        <v>1</v>
      </c>
      <c r="AB11" s="1" t="n"/>
      <c r="AC11" s="1" t="n">
        <v>2</v>
      </c>
      <c r="AD11" s="1" t="n">
        <v>1</v>
      </c>
      <c r="AE11" s="1" t="n"/>
      <c r="AF11" s="1" t="n">
        <v>1</v>
      </c>
      <c r="AG11" s="1" t="n"/>
      <c r="AH11" s="1" t="n"/>
      <c r="AI11" s="1" t="n">
        <v>1</v>
      </c>
      <c r="AJ11" s="1" t="n"/>
    </row>
    <row r="12" ht="18" customHeight="1" s="25">
      <c r="A12" s="1" t="inlineStr">
        <is>
          <t>宣威市中浩电脑科技有限公司</t>
        </is>
      </c>
      <c r="B12" s="3" t="n">
        <v>3</v>
      </c>
      <c r="C12" s="3" t="n">
        <v>3</v>
      </c>
      <c r="D12" s="3" t="n">
        <v>6</v>
      </c>
      <c r="E12" s="1" t="n">
        <v>0</v>
      </c>
      <c r="F12" s="1" t="n"/>
      <c r="G12" s="23">
        <f>F12/E12</f>
        <v/>
      </c>
      <c r="H12" s="1" t="n">
        <v>1</v>
      </c>
      <c r="I12" s="1" t="n">
        <v>0</v>
      </c>
      <c r="J12" s="23">
        <f>I12/H12</f>
        <v/>
      </c>
      <c r="K12" s="1" t="n">
        <v>1</v>
      </c>
      <c r="L12" s="1" t="n">
        <v>0</v>
      </c>
      <c r="M12" s="23">
        <f>L12/K12</f>
        <v/>
      </c>
      <c r="N12" s="1" t="n">
        <v>0</v>
      </c>
      <c r="O12" s="1" t="n"/>
      <c r="P12" s="23">
        <f>O12/N12</f>
        <v/>
      </c>
      <c r="Q12" s="1" t="n">
        <v>1</v>
      </c>
      <c r="R12" s="1" t="n">
        <v>0</v>
      </c>
      <c r="S12" s="23">
        <f>R12/Q12</f>
        <v/>
      </c>
      <c r="T12" s="1" t="n">
        <v>1</v>
      </c>
      <c r="U12" s="1" t="n">
        <v>0</v>
      </c>
      <c r="V12" s="23">
        <f>U12/T12</f>
        <v/>
      </c>
      <c r="W12" s="1" t="n"/>
      <c r="X12" s="1" t="n"/>
      <c r="Y12" s="1" t="n"/>
      <c r="Z12" s="1" t="n">
        <v>1</v>
      </c>
      <c r="AA12" s="1" t="n">
        <v>2</v>
      </c>
      <c r="AB12" s="1" t="n"/>
      <c r="AC12" s="1" t="n"/>
      <c r="AD12" s="1" t="n">
        <v>2</v>
      </c>
      <c r="AE12" s="1" t="n"/>
      <c r="AF12" s="1" t="n">
        <v>1</v>
      </c>
      <c r="AG12" s="1" t="n"/>
      <c r="AH12" s="1" t="n"/>
      <c r="AI12" s="1" t="n"/>
      <c r="AJ12" s="1" t="n"/>
    </row>
    <row r="13" ht="18" customHeight="1" s="25">
      <c r="A13" s="1" t="inlineStr">
        <is>
          <t>宣威市阿都乡移动营业厅</t>
        </is>
      </c>
      <c r="B13" s="3" t="n">
        <v>2</v>
      </c>
      <c r="C13" s="3" t="n">
        <v>3</v>
      </c>
      <c r="D13" s="3" t="n">
        <v>5</v>
      </c>
      <c r="E13" s="1" t="n">
        <v>0</v>
      </c>
      <c r="F13" s="1" t="n"/>
      <c r="G13" s="23">
        <f>F13/E13</f>
        <v/>
      </c>
      <c r="H13" s="1" t="n">
        <v>1</v>
      </c>
      <c r="I13" s="1" t="n">
        <v>0</v>
      </c>
      <c r="J13" s="23">
        <f>I13/H13</f>
        <v/>
      </c>
      <c r="K13" s="1" t="n">
        <v>1</v>
      </c>
      <c r="L13" s="1" t="n">
        <v>0</v>
      </c>
      <c r="M13" s="23">
        <f>L13/K13</f>
        <v/>
      </c>
      <c r="N13" s="1" t="n">
        <v>0</v>
      </c>
      <c r="O13" s="1" t="n"/>
      <c r="P13" s="23">
        <f>O13/N13</f>
        <v/>
      </c>
      <c r="Q13" s="1" t="n">
        <v>1</v>
      </c>
      <c r="R13" s="1" t="n">
        <v>0</v>
      </c>
      <c r="S13" s="23">
        <f>R13/Q13</f>
        <v/>
      </c>
      <c r="T13" s="1" t="n">
        <v>1</v>
      </c>
      <c r="U13" s="1" t="n">
        <v>0</v>
      </c>
      <c r="V13" s="23">
        <f>U13/T13</f>
        <v/>
      </c>
      <c r="W13" s="1" t="n"/>
      <c r="X13" s="1" t="n"/>
      <c r="Y13" s="1" t="n"/>
      <c r="Z13" s="1" t="n"/>
      <c r="AA13" s="1" t="n">
        <v>2</v>
      </c>
      <c r="AB13" s="1" t="n"/>
      <c r="AC13" s="1" t="n"/>
      <c r="AD13" s="1" t="n">
        <v>1</v>
      </c>
      <c r="AE13" s="1" t="n"/>
      <c r="AF13" s="1" t="n"/>
      <c r="AG13" s="1" t="n"/>
      <c r="AH13" s="1" t="n"/>
      <c r="AI13" s="1" t="n">
        <v>1</v>
      </c>
      <c r="AJ13" s="1" t="n">
        <v>1</v>
      </c>
    </row>
    <row r="14" ht="18" customHeight="1" s="25">
      <c r="A14" s="1" t="inlineStr">
        <is>
          <t>宣威市文兴乡佳信通讯店</t>
        </is>
      </c>
      <c r="B14" s="3" t="n">
        <v>2</v>
      </c>
      <c r="C14" s="3" t="n">
        <v>3</v>
      </c>
      <c r="D14" s="3" t="n">
        <v>5</v>
      </c>
      <c r="E14" s="1" t="n">
        <v>0</v>
      </c>
      <c r="F14" s="1" t="n"/>
      <c r="G14" s="23">
        <f>F14/E14</f>
        <v/>
      </c>
      <c r="H14" s="1" t="n">
        <v>1</v>
      </c>
      <c r="I14" s="1" t="n">
        <v>0</v>
      </c>
      <c r="J14" s="23">
        <f>I14/H14</f>
        <v/>
      </c>
      <c r="K14" s="1" t="n">
        <v>1</v>
      </c>
      <c r="L14" s="1" t="n">
        <v>0</v>
      </c>
      <c r="M14" s="23">
        <f>L14/K14</f>
        <v/>
      </c>
      <c r="N14" s="1" t="n">
        <v>0</v>
      </c>
      <c r="O14" s="1" t="n"/>
      <c r="P14" s="23">
        <f>O14/N14</f>
        <v/>
      </c>
      <c r="Q14" s="1" t="n">
        <v>1</v>
      </c>
      <c r="R14" s="1" t="n">
        <v>0</v>
      </c>
      <c r="S14" s="23">
        <f>R14/Q14</f>
        <v/>
      </c>
      <c r="T14" s="1" t="n">
        <v>1</v>
      </c>
      <c r="U14" s="1" t="n">
        <v>0</v>
      </c>
      <c r="V14" s="23">
        <f>U14/T14</f>
        <v/>
      </c>
      <c r="W14" s="1" t="n"/>
      <c r="X14" s="1" t="n">
        <v>1</v>
      </c>
      <c r="Y14" s="1" t="n"/>
      <c r="Z14" s="1" t="n"/>
      <c r="AA14" s="1" t="n">
        <v>1</v>
      </c>
      <c r="AB14" s="1" t="n"/>
      <c r="AC14" s="1" t="n"/>
      <c r="AD14" s="1" t="n"/>
      <c r="AE14" s="1" t="n"/>
      <c r="AF14" s="1" t="n"/>
      <c r="AG14" s="1" t="n">
        <v>1</v>
      </c>
      <c r="AH14" s="1" t="n">
        <v>1</v>
      </c>
      <c r="AI14" s="1" t="n"/>
      <c r="AJ14" s="1" t="n">
        <v>1</v>
      </c>
    </row>
    <row r="15" ht="18" customHeight="1" s="25">
      <c r="A15" s="1" t="inlineStr">
        <is>
          <t>宣威市羊场镇悦达通讯</t>
        </is>
      </c>
      <c r="B15" s="3" t="n">
        <v>1</v>
      </c>
      <c r="C15" s="3" t="n">
        <v>4</v>
      </c>
      <c r="D15" s="3" t="n">
        <v>5</v>
      </c>
      <c r="E15" s="1" t="n">
        <v>0</v>
      </c>
      <c r="F15" s="1" t="n"/>
      <c r="G15" s="23">
        <f>F15/E15</f>
        <v/>
      </c>
      <c r="H15" s="1" t="n">
        <v>1</v>
      </c>
      <c r="I15" s="1" t="n">
        <v>0</v>
      </c>
      <c r="J15" s="23">
        <f>I15/H15</f>
        <v/>
      </c>
      <c r="K15" s="1" t="n">
        <v>1</v>
      </c>
      <c r="L15" s="1" t="n">
        <v>0</v>
      </c>
      <c r="M15" s="23">
        <f>L15/K15</f>
        <v/>
      </c>
      <c r="N15" s="1" t="n">
        <v>0</v>
      </c>
      <c r="O15" s="1" t="n"/>
      <c r="P15" s="23">
        <f>O15/N15</f>
        <v/>
      </c>
      <c r="Q15" s="1" t="n">
        <v>1</v>
      </c>
      <c r="R15" s="1" t="n">
        <v>0</v>
      </c>
      <c r="S15" s="23">
        <f>R15/Q15</f>
        <v/>
      </c>
      <c r="T15" s="1" t="n">
        <v>1</v>
      </c>
      <c r="U15" s="1" t="n">
        <v>0</v>
      </c>
      <c r="V15" s="23">
        <f>U15/T15</f>
        <v/>
      </c>
      <c r="W15" s="1" t="n"/>
      <c r="X15" s="1" t="n"/>
      <c r="Y15" s="1" t="n"/>
      <c r="Z15" s="1" t="n"/>
      <c r="AA15" s="1" t="n">
        <v>1</v>
      </c>
      <c r="AB15" s="1" t="n"/>
      <c r="AC15" s="1" t="n"/>
      <c r="AD15" s="1" t="n">
        <v>2</v>
      </c>
      <c r="AE15" s="1" t="n"/>
      <c r="AF15" s="1" t="n">
        <v>1</v>
      </c>
      <c r="AG15" s="1" t="n"/>
      <c r="AH15" s="1" t="n"/>
      <c r="AI15" s="1" t="n"/>
      <c r="AJ15" s="1" t="n">
        <v>1</v>
      </c>
    </row>
    <row r="16" ht="18" customHeight="1" s="25">
      <c r="A16" s="1" t="inlineStr">
        <is>
          <t>宣威田坝宏骏通信</t>
        </is>
      </c>
      <c r="B16" s="3" t="n">
        <v>2</v>
      </c>
      <c r="C16" s="3" t="n">
        <v>3</v>
      </c>
      <c r="D16" s="3" t="n">
        <v>5</v>
      </c>
      <c r="E16" s="1" t="n">
        <v>0</v>
      </c>
      <c r="F16" s="1" t="n"/>
      <c r="G16" s="23">
        <f>F16/E16</f>
        <v/>
      </c>
      <c r="H16" s="1" t="n">
        <v>1</v>
      </c>
      <c r="I16" s="1" t="n">
        <v>0</v>
      </c>
      <c r="J16" s="23">
        <f>I16/H16</f>
        <v/>
      </c>
      <c r="K16" s="1" t="n">
        <v>1</v>
      </c>
      <c r="L16" s="1" t="n">
        <v>0</v>
      </c>
      <c r="M16" s="23">
        <f>L16/K16</f>
        <v/>
      </c>
      <c r="N16" s="1" t="n">
        <v>0</v>
      </c>
      <c r="O16" s="1" t="n"/>
      <c r="P16" s="23">
        <f>O16/N16</f>
        <v/>
      </c>
      <c r="Q16" s="1" t="n">
        <v>1</v>
      </c>
      <c r="R16" s="1" t="n">
        <v>0</v>
      </c>
      <c r="S16" s="23">
        <f>R16/Q16</f>
        <v/>
      </c>
      <c r="T16" s="1" t="n">
        <v>1</v>
      </c>
      <c r="U16" s="1" t="n">
        <v>0</v>
      </c>
      <c r="V16" s="23">
        <f>U16/T16</f>
        <v/>
      </c>
      <c r="W16" s="1" t="n"/>
      <c r="X16" s="1" t="n"/>
      <c r="Y16" s="1" t="n"/>
      <c r="Z16" s="1" t="n">
        <v>1</v>
      </c>
      <c r="AA16" s="1" t="n">
        <v>1</v>
      </c>
      <c r="AB16" s="1" t="n"/>
      <c r="AC16" s="1" t="n">
        <v>1</v>
      </c>
      <c r="AD16" s="1" t="n">
        <v>1</v>
      </c>
      <c r="AE16" s="1" t="n"/>
      <c r="AF16" s="1" t="n"/>
      <c r="AG16" s="1" t="n"/>
      <c r="AH16" s="1" t="n"/>
      <c r="AI16" s="1" t="n"/>
      <c r="AJ16" s="1" t="n">
        <v>1</v>
      </c>
    </row>
    <row r="17" ht="18" customHeight="1" s="25">
      <c r="A17" s="1" t="inlineStr">
        <is>
          <t>宣威市倘塘镇诚信手机专卖店</t>
        </is>
      </c>
      <c r="B17" s="3" t="n">
        <v>1</v>
      </c>
      <c r="C17" s="3" t="n">
        <v>3</v>
      </c>
      <c r="D17" s="3" t="n">
        <v>4</v>
      </c>
      <c r="E17" s="1" t="n">
        <v>0</v>
      </c>
      <c r="F17" s="1" t="n"/>
      <c r="G17" s="23">
        <f>F17/E17</f>
        <v/>
      </c>
      <c r="H17" s="1" t="n">
        <v>1</v>
      </c>
      <c r="I17" s="1" t="n">
        <v>0</v>
      </c>
      <c r="J17" s="23">
        <f>I17/H17</f>
        <v/>
      </c>
      <c r="K17" s="1" t="n">
        <v>1</v>
      </c>
      <c r="L17" s="1" t="n">
        <v>0</v>
      </c>
      <c r="M17" s="23">
        <f>L17/K17</f>
        <v/>
      </c>
      <c r="N17" s="1" t="n">
        <v>0</v>
      </c>
      <c r="O17" s="1" t="n"/>
      <c r="P17" s="23">
        <f>O17/N17</f>
        <v/>
      </c>
      <c r="Q17" s="1" t="n">
        <v>1</v>
      </c>
      <c r="R17" s="1" t="n">
        <v>0</v>
      </c>
      <c r="S17" s="23">
        <f>R17/Q17</f>
        <v/>
      </c>
      <c r="T17" s="1" t="n">
        <v>1</v>
      </c>
      <c r="U17" s="1" t="n">
        <v>0</v>
      </c>
      <c r="V17" s="23">
        <f>U17/T17</f>
        <v/>
      </c>
      <c r="W17" s="1" t="n"/>
      <c r="X17" s="1" t="n"/>
      <c r="Y17" s="1" t="n"/>
      <c r="Z17" s="1" t="n"/>
      <c r="AA17" s="1" t="n">
        <v>1</v>
      </c>
      <c r="AB17" s="1" t="n"/>
      <c r="AC17" s="1" t="n"/>
      <c r="AD17" s="1" t="n"/>
      <c r="AE17" s="1" t="n"/>
      <c r="AF17" s="1" t="n">
        <v>1</v>
      </c>
      <c r="AG17" s="1" t="n"/>
      <c r="AH17" s="1" t="n">
        <v>2</v>
      </c>
      <c r="AI17" s="1" t="n"/>
      <c r="AJ17" s="1" t="n"/>
    </row>
    <row r="18" ht="18" customHeight="1" s="25">
      <c r="A18" s="1" t="inlineStr">
        <is>
          <t>宣威市万祥科技有限公司</t>
        </is>
      </c>
      <c r="B18" s="3" t="n">
        <v>1</v>
      </c>
      <c r="C18" s="3" t="n">
        <v>3</v>
      </c>
      <c r="D18" s="3" t="n">
        <v>4</v>
      </c>
      <c r="E18" s="1" t="n">
        <v>0</v>
      </c>
      <c r="F18" s="1" t="n"/>
      <c r="G18" s="23">
        <f>F18/E18</f>
        <v/>
      </c>
      <c r="H18" s="1" t="n">
        <v>1</v>
      </c>
      <c r="I18" s="1" t="n">
        <v>0</v>
      </c>
      <c r="J18" s="23">
        <f>I18/H18</f>
        <v/>
      </c>
      <c r="K18" s="1" t="n">
        <v>1</v>
      </c>
      <c r="L18" s="1" t="n">
        <v>0</v>
      </c>
      <c r="M18" s="23">
        <f>L18/K18</f>
        <v/>
      </c>
      <c r="N18" s="1" t="n">
        <v>0</v>
      </c>
      <c r="O18" s="1" t="n"/>
      <c r="P18" s="23">
        <f>O18/N18</f>
        <v/>
      </c>
      <c r="Q18" s="1" t="n">
        <v>1</v>
      </c>
      <c r="R18" s="1" t="n">
        <v>0</v>
      </c>
      <c r="S18" s="23">
        <f>R18/Q18</f>
        <v/>
      </c>
      <c r="T18" s="1" t="n">
        <v>1</v>
      </c>
      <c r="U18" s="1" t="n">
        <v>0</v>
      </c>
      <c r="V18" s="23">
        <f>U18/T18</f>
        <v/>
      </c>
      <c r="W18" s="1" t="n"/>
      <c r="X18" s="1" t="n"/>
      <c r="Y18" s="1" t="n"/>
      <c r="Z18" s="1" t="n"/>
      <c r="AA18" s="1" t="n">
        <v>1</v>
      </c>
      <c r="AB18" s="1" t="n"/>
      <c r="AC18" s="1" t="n"/>
      <c r="AD18" s="1" t="n">
        <v>2</v>
      </c>
      <c r="AE18" s="1" t="n"/>
      <c r="AF18" s="1" t="n"/>
      <c r="AG18" s="1" t="n"/>
      <c r="AH18" s="1" t="n"/>
      <c r="AI18" s="1" t="n"/>
      <c r="AJ18" s="1" t="n">
        <v>1</v>
      </c>
    </row>
    <row r="19" ht="18" customHeight="1" s="25">
      <c r="A19" s="1" t="inlineStr">
        <is>
          <t>宣威市杨柳乡可渡村中国移动特约代理点</t>
        </is>
      </c>
      <c r="B19" s="3" t="n">
        <v>1</v>
      </c>
      <c r="C19" s="3" t="n">
        <v>3</v>
      </c>
      <c r="D19" s="3" t="n">
        <v>4</v>
      </c>
      <c r="E19" s="1" t="n">
        <v>0</v>
      </c>
      <c r="F19" s="1" t="n"/>
      <c r="G19" s="23">
        <f>F19/E19</f>
        <v/>
      </c>
      <c r="H19" s="1" t="n">
        <v>1</v>
      </c>
      <c r="I19" s="1" t="n">
        <v>0</v>
      </c>
      <c r="J19" s="23">
        <f>I19/H19</f>
        <v/>
      </c>
      <c r="K19" s="1" t="n">
        <v>1</v>
      </c>
      <c r="L19" s="1" t="n">
        <v>0</v>
      </c>
      <c r="M19" s="23">
        <f>L19/K19</f>
        <v/>
      </c>
      <c r="N19" s="1" t="n">
        <v>0</v>
      </c>
      <c r="O19" s="1" t="n"/>
      <c r="P19" s="23">
        <f>O19/N19</f>
        <v/>
      </c>
      <c r="Q19" s="1" t="n">
        <v>1</v>
      </c>
      <c r="R19" s="1" t="n">
        <v>0</v>
      </c>
      <c r="S19" s="23">
        <f>R19/Q19</f>
        <v/>
      </c>
      <c r="T19" s="1" t="n">
        <v>1</v>
      </c>
      <c r="U19" s="1" t="n">
        <v>0</v>
      </c>
      <c r="V19" s="23">
        <f>U19/T19</f>
        <v/>
      </c>
      <c r="W19" s="1" t="n"/>
      <c r="X19" s="1" t="n"/>
      <c r="Y19" s="1" t="n"/>
      <c r="Z19" s="1" t="n"/>
      <c r="AA19" s="1" t="n">
        <v>1</v>
      </c>
      <c r="AB19" s="1" t="n"/>
      <c r="AC19" s="1" t="n"/>
      <c r="AD19" s="1" t="n">
        <v>1</v>
      </c>
      <c r="AE19" s="1" t="n">
        <v>1</v>
      </c>
      <c r="AF19" s="1" t="n">
        <v>1</v>
      </c>
      <c r="AG19" s="1" t="n"/>
      <c r="AH19" s="1" t="n"/>
      <c r="AI19" s="1" t="n"/>
      <c r="AJ19" s="1" t="n"/>
    </row>
    <row r="20" ht="18" customHeight="1" s="25">
      <c r="A20" s="1" t="inlineStr">
        <is>
          <t>宣威市格宜镇兴护商店</t>
        </is>
      </c>
      <c r="B20" s="3" t="n">
        <v>3</v>
      </c>
      <c r="C20" s="3" t="n">
        <v>0</v>
      </c>
      <c r="D20" s="3" t="n">
        <v>3</v>
      </c>
      <c r="E20" s="1" t="n">
        <v>0</v>
      </c>
      <c r="F20" s="1" t="n"/>
      <c r="G20" s="23">
        <f>F20/E20</f>
        <v/>
      </c>
      <c r="H20" s="1" t="n">
        <v>1</v>
      </c>
      <c r="I20" s="1" t="n">
        <v>0</v>
      </c>
      <c r="J20" s="23">
        <f>I20/H20</f>
        <v/>
      </c>
      <c r="K20" s="1" t="n">
        <v>1</v>
      </c>
      <c r="L20" s="1" t="n">
        <v>0</v>
      </c>
      <c r="M20" s="23">
        <f>L20/K20</f>
        <v/>
      </c>
      <c r="N20" s="1" t="n">
        <v>0</v>
      </c>
      <c r="O20" s="1" t="n"/>
      <c r="P20" s="23">
        <f>O20/N20</f>
        <v/>
      </c>
      <c r="Q20" s="1" t="n">
        <v>1</v>
      </c>
      <c r="R20" s="1" t="n">
        <v>0</v>
      </c>
      <c r="S20" s="23">
        <f>R20/Q20</f>
        <v/>
      </c>
      <c r="T20" s="1" t="n">
        <v>1</v>
      </c>
      <c r="U20" s="1" t="n">
        <v>0</v>
      </c>
      <c r="V20" s="23">
        <f>U20/T20</f>
        <v/>
      </c>
      <c r="W20" s="1" t="n"/>
      <c r="X20" s="1" t="n"/>
      <c r="Y20" s="1" t="n"/>
      <c r="Z20" s="1" t="n"/>
      <c r="AA20" s="1" t="n">
        <v>3</v>
      </c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 ht="18" customHeight="1" s="25">
      <c r="A21" s="1" t="inlineStr">
        <is>
          <t>宣威市落水华飞通讯服务部</t>
        </is>
      </c>
      <c r="B21" s="3" t="n">
        <v>3</v>
      </c>
      <c r="C21" s="3" t="n">
        <v>0</v>
      </c>
      <c r="D21" s="3" t="n">
        <v>3</v>
      </c>
      <c r="E21" s="1" t="n">
        <v>0</v>
      </c>
      <c r="F21" s="1" t="n"/>
      <c r="G21" s="23">
        <f>F21/E21</f>
        <v/>
      </c>
      <c r="H21" s="1" t="n">
        <v>1</v>
      </c>
      <c r="I21" s="1" t="n">
        <v>0</v>
      </c>
      <c r="J21" s="23">
        <f>I21/H21</f>
        <v/>
      </c>
      <c r="K21" s="1" t="n">
        <v>1</v>
      </c>
      <c r="L21" s="1" t="n">
        <v>0</v>
      </c>
      <c r="M21" s="23">
        <f>L21/K21</f>
        <v/>
      </c>
      <c r="N21" s="1" t="n">
        <v>0</v>
      </c>
      <c r="O21" s="1" t="n"/>
      <c r="P21" s="23">
        <f>O21/N21</f>
        <v/>
      </c>
      <c r="Q21" s="1" t="n">
        <v>1</v>
      </c>
      <c r="R21" s="1" t="n">
        <v>0</v>
      </c>
      <c r="S21" s="23">
        <f>R21/Q21</f>
        <v/>
      </c>
      <c r="T21" s="1" t="n">
        <v>1</v>
      </c>
      <c r="U21" s="1" t="n">
        <v>0</v>
      </c>
      <c r="V21" s="23">
        <f>U21/T21</f>
        <v/>
      </c>
      <c r="W21" s="1" t="n"/>
      <c r="X21" s="1" t="n">
        <v>1</v>
      </c>
      <c r="Y21" s="1" t="n"/>
      <c r="Z21" s="1" t="n"/>
      <c r="AA21" s="1" t="n">
        <v>1</v>
      </c>
      <c r="AB21" s="1" t="n">
        <v>1</v>
      </c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 ht="18" customHeight="1" s="25">
      <c r="A22" s="1" t="inlineStr">
        <is>
          <t>宣威市双河乡顺宏通讯</t>
        </is>
      </c>
      <c r="B22" s="3" t="n">
        <v>3</v>
      </c>
      <c r="C22" s="3" t="n">
        <v>0</v>
      </c>
      <c r="D22" s="3" t="n">
        <v>3</v>
      </c>
      <c r="E22" s="1" t="n">
        <v>0</v>
      </c>
      <c r="F22" s="1" t="n"/>
      <c r="G22" s="23">
        <f>F22/E22</f>
        <v/>
      </c>
      <c r="H22" s="1" t="n">
        <v>1</v>
      </c>
      <c r="I22" s="1" t="n">
        <v>0</v>
      </c>
      <c r="J22" s="23">
        <f>I22/H22</f>
        <v/>
      </c>
      <c r="K22" s="1" t="n">
        <v>1</v>
      </c>
      <c r="L22" s="1" t="n">
        <v>0</v>
      </c>
      <c r="M22" s="23">
        <f>L22/K22</f>
        <v/>
      </c>
      <c r="N22" s="1" t="n">
        <v>0</v>
      </c>
      <c r="O22" s="1" t="n"/>
      <c r="P22" s="23">
        <f>O22/N22</f>
        <v/>
      </c>
      <c r="Q22" s="1" t="n">
        <v>1</v>
      </c>
      <c r="R22" s="1" t="n">
        <v>0</v>
      </c>
      <c r="S22" s="23">
        <f>R22/Q22</f>
        <v/>
      </c>
      <c r="T22" s="1" t="n">
        <v>1</v>
      </c>
      <c r="U22" s="1" t="n">
        <v>0</v>
      </c>
      <c r="V22" s="23">
        <f>U22/T22</f>
        <v/>
      </c>
      <c r="W22" s="1" t="n"/>
      <c r="X22" s="1" t="n"/>
      <c r="Y22" s="1" t="n">
        <v>1</v>
      </c>
      <c r="Z22" s="1" t="n">
        <v>1</v>
      </c>
      <c r="AA22" s="1" t="n">
        <v>1</v>
      </c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 ht="18" customHeight="1" s="25">
      <c r="A23" s="1" t="inlineStr">
        <is>
          <t>宣威市田坝镇诚信通讯</t>
        </is>
      </c>
      <c r="B23" s="3" t="n">
        <v>3</v>
      </c>
      <c r="C23" s="3" t="n">
        <v>0</v>
      </c>
      <c r="D23" s="3" t="n">
        <v>3</v>
      </c>
      <c r="E23" s="1" t="n">
        <v>0</v>
      </c>
      <c r="F23" s="1" t="n"/>
      <c r="G23" s="23">
        <f>F23/E23</f>
        <v/>
      </c>
      <c r="H23" s="1" t="n">
        <v>1</v>
      </c>
      <c r="I23" s="1" t="n">
        <v>0</v>
      </c>
      <c r="J23" s="23">
        <f>I23/H23</f>
        <v/>
      </c>
      <c r="K23" s="1" t="n">
        <v>1</v>
      </c>
      <c r="L23" s="1" t="n">
        <v>0</v>
      </c>
      <c r="M23" s="23">
        <f>L23/K23</f>
        <v/>
      </c>
      <c r="N23" s="1" t="n">
        <v>0</v>
      </c>
      <c r="O23" s="1" t="n"/>
      <c r="P23" s="23">
        <f>O23/N23</f>
        <v/>
      </c>
      <c r="Q23" s="1" t="n">
        <v>1</v>
      </c>
      <c r="R23" s="1" t="n">
        <v>0</v>
      </c>
      <c r="S23" s="23">
        <f>R23/Q23</f>
        <v/>
      </c>
      <c r="T23" s="1" t="n">
        <v>1</v>
      </c>
      <c r="U23" s="1" t="n">
        <v>0</v>
      </c>
      <c r="V23" s="23">
        <f>U23/T23</f>
        <v/>
      </c>
      <c r="W23" s="1" t="n"/>
      <c r="X23" s="1" t="n"/>
      <c r="Y23" s="1" t="n"/>
      <c r="Z23" s="1" t="n">
        <v>1</v>
      </c>
      <c r="AA23" s="1" t="n">
        <v>2</v>
      </c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 ht="18" customHeight="1" s="25">
      <c r="A24" s="1" t="inlineStr">
        <is>
          <t>宣威市宝山镇祥和通讯</t>
        </is>
      </c>
      <c r="B24" s="3" t="n">
        <v>2</v>
      </c>
      <c r="C24" s="3" t="n">
        <v>0</v>
      </c>
      <c r="D24" s="3" t="n">
        <v>2</v>
      </c>
      <c r="E24" s="1" t="n">
        <v>0</v>
      </c>
      <c r="F24" s="1" t="n"/>
      <c r="G24" s="23">
        <f>F24/E24</f>
        <v/>
      </c>
      <c r="H24" s="1" t="n">
        <v>1</v>
      </c>
      <c r="I24" s="1" t="n">
        <v>0</v>
      </c>
      <c r="J24" s="23">
        <f>I24/H24</f>
        <v/>
      </c>
      <c r="K24" s="1" t="n">
        <v>1</v>
      </c>
      <c r="L24" s="1" t="n">
        <v>0</v>
      </c>
      <c r="M24" s="23">
        <f>L24/K24</f>
        <v/>
      </c>
      <c r="N24" s="1" t="n">
        <v>0</v>
      </c>
      <c r="O24" s="1" t="n"/>
      <c r="P24" s="23">
        <f>O24/N24</f>
        <v/>
      </c>
      <c r="Q24" s="1" t="n">
        <v>1</v>
      </c>
      <c r="R24" s="1" t="n">
        <v>0</v>
      </c>
      <c r="S24" s="23">
        <f>R24/Q24</f>
        <v/>
      </c>
      <c r="T24" s="1" t="n">
        <v>1</v>
      </c>
      <c r="U24" s="1" t="n">
        <v>0</v>
      </c>
      <c r="V24" s="23">
        <f>U24/T24</f>
        <v/>
      </c>
      <c r="W24" s="1" t="n"/>
      <c r="X24" s="1" t="n"/>
      <c r="Y24" s="1" t="n"/>
      <c r="Z24" s="1" t="n"/>
      <c r="AA24" s="1" t="n">
        <v>2</v>
      </c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 ht="18" customHeight="1" s="25">
      <c r="A25" s="1" t="inlineStr">
        <is>
          <t>宣威市格宜镇时尚通讯</t>
        </is>
      </c>
      <c r="B25" s="3" t="n">
        <v>2</v>
      </c>
      <c r="C25" s="3" t="n">
        <v>0</v>
      </c>
      <c r="D25" s="3" t="n">
        <v>2</v>
      </c>
      <c r="E25" s="1" t="n">
        <v>0</v>
      </c>
      <c r="F25" s="1" t="n"/>
      <c r="G25" s="23">
        <f>F25/E25</f>
        <v/>
      </c>
      <c r="H25" s="1" t="n">
        <v>1</v>
      </c>
      <c r="I25" s="1" t="n">
        <v>0</v>
      </c>
      <c r="J25" s="23">
        <f>I25/H25</f>
        <v/>
      </c>
      <c r="K25" s="1" t="n">
        <v>1</v>
      </c>
      <c r="L25" s="1" t="n">
        <v>0</v>
      </c>
      <c r="M25" s="23">
        <f>L25/K25</f>
        <v/>
      </c>
      <c r="N25" s="1" t="n">
        <v>0</v>
      </c>
      <c r="O25" s="1" t="n"/>
      <c r="P25" s="23">
        <f>O25/N25</f>
        <v/>
      </c>
      <c r="Q25" s="1" t="n">
        <v>1</v>
      </c>
      <c r="R25" s="1" t="n">
        <v>0</v>
      </c>
      <c r="S25" s="23">
        <f>R25/Q25</f>
        <v/>
      </c>
      <c r="T25" s="1" t="n">
        <v>1</v>
      </c>
      <c r="U25" s="1" t="n">
        <v>0</v>
      </c>
      <c r="V25" s="23">
        <f>U25/T25</f>
        <v/>
      </c>
      <c r="W25" s="1" t="n"/>
      <c r="X25" s="1" t="n">
        <v>1</v>
      </c>
      <c r="Y25" s="1" t="n"/>
      <c r="Z25" s="1" t="n"/>
      <c r="AA25" s="1" t="n">
        <v>1</v>
      </c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 ht="18" customHeight="1" s="25">
      <c r="A26" s="1" t="inlineStr">
        <is>
          <t>宣威市海岱镇中国移动海岱指定专营店</t>
        </is>
      </c>
      <c r="B26" s="3" t="n">
        <v>2</v>
      </c>
      <c r="C26" s="3" t="n">
        <v>0</v>
      </c>
      <c r="D26" s="3" t="n">
        <v>2</v>
      </c>
      <c r="E26" s="1" t="n">
        <v>0</v>
      </c>
      <c r="F26" s="1" t="n"/>
      <c r="G26" s="23">
        <f>F26/E26</f>
        <v/>
      </c>
      <c r="H26" s="1" t="n">
        <v>1</v>
      </c>
      <c r="I26" s="1" t="n">
        <v>0</v>
      </c>
      <c r="J26" s="23">
        <f>I26/H26</f>
        <v/>
      </c>
      <c r="K26" s="1" t="n">
        <v>1</v>
      </c>
      <c r="L26" s="1" t="n">
        <v>0</v>
      </c>
      <c r="M26" s="23">
        <f>L26/K26</f>
        <v/>
      </c>
      <c r="N26" s="1" t="n">
        <v>0</v>
      </c>
      <c r="O26" s="1" t="n"/>
      <c r="P26" s="23">
        <f>O26/N26</f>
        <v/>
      </c>
      <c r="Q26" s="1" t="n">
        <v>1</v>
      </c>
      <c r="R26" s="1" t="n">
        <v>0</v>
      </c>
      <c r="S26" s="23">
        <f>R26/Q26</f>
        <v/>
      </c>
      <c r="T26" s="1" t="n">
        <v>1</v>
      </c>
      <c r="U26" s="1" t="n">
        <v>0</v>
      </c>
      <c r="V26" s="23">
        <f>U26/T26</f>
        <v/>
      </c>
      <c r="W26" s="1" t="n">
        <v>1</v>
      </c>
      <c r="X26" s="1" t="n"/>
      <c r="Y26" s="1" t="n"/>
      <c r="Z26" s="1" t="n"/>
      <c r="AA26" s="1" t="n">
        <v>1</v>
      </c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 ht="18" customHeight="1" s="25">
      <c r="A27" s="1" t="inlineStr">
        <is>
          <t>宣威市龙潭镇龙潭指定专营店</t>
        </is>
      </c>
      <c r="B27" s="3" t="n">
        <v>2</v>
      </c>
      <c r="C27" s="3" t="n">
        <v>0</v>
      </c>
      <c r="D27" s="3" t="n">
        <v>2</v>
      </c>
      <c r="E27" s="1" t="n">
        <v>0</v>
      </c>
      <c r="F27" s="1" t="n"/>
      <c r="G27" s="23">
        <f>F27/E27</f>
        <v/>
      </c>
      <c r="H27" s="1" t="n">
        <v>1</v>
      </c>
      <c r="I27" s="1" t="n">
        <v>0</v>
      </c>
      <c r="J27" s="23">
        <f>I27/H27</f>
        <v/>
      </c>
      <c r="K27" s="1" t="n">
        <v>1</v>
      </c>
      <c r="L27" s="1" t="n">
        <v>0</v>
      </c>
      <c r="M27" s="23">
        <f>L27/K27</f>
        <v/>
      </c>
      <c r="N27" s="1" t="n">
        <v>0</v>
      </c>
      <c r="O27" s="1" t="n"/>
      <c r="P27" s="23">
        <f>O27/N27</f>
        <v/>
      </c>
      <c r="Q27" s="1" t="n">
        <v>1</v>
      </c>
      <c r="R27" s="1" t="n">
        <v>0</v>
      </c>
      <c r="S27" s="23">
        <f>R27/Q27</f>
        <v/>
      </c>
      <c r="T27" s="1" t="n">
        <v>1</v>
      </c>
      <c r="U27" s="1" t="n">
        <v>0</v>
      </c>
      <c r="V27" s="23">
        <f>U27/T27</f>
        <v/>
      </c>
      <c r="W27" s="1" t="n"/>
      <c r="X27" s="1" t="n"/>
      <c r="Y27" s="1" t="n"/>
      <c r="Z27" s="1" t="n">
        <v>1</v>
      </c>
      <c r="AA27" s="1" t="n">
        <v>1</v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 ht="18" customHeight="1" s="25">
      <c r="A28" s="1" t="inlineStr">
        <is>
          <t>宣威市倘塘镇辉熠通讯</t>
        </is>
      </c>
      <c r="B28" s="3" t="n">
        <v>2</v>
      </c>
      <c r="C28" s="3" t="n">
        <v>0</v>
      </c>
      <c r="D28" s="3" t="n">
        <v>2</v>
      </c>
      <c r="E28" s="1" t="n">
        <v>0</v>
      </c>
      <c r="F28" s="1" t="n"/>
      <c r="G28" s="23">
        <f>F28/E28</f>
        <v/>
      </c>
      <c r="H28" s="1" t="n">
        <v>1</v>
      </c>
      <c r="I28" s="1" t="n">
        <v>0</v>
      </c>
      <c r="J28" s="23">
        <f>I28/H28</f>
        <v/>
      </c>
      <c r="K28" s="1" t="n">
        <v>1</v>
      </c>
      <c r="L28" s="1" t="n">
        <v>0</v>
      </c>
      <c r="M28" s="23">
        <f>L28/K28</f>
        <v/>
      </c>
      <c r="N28" s="1" t="n">
        <v>0</v>
      </c>
      <c r="O28" s="1" t="n"/>
      <c r="P28" s="23">
        <f>O28/N28</f>
        <v/>
      </c>
      <c r="Q28" s="1" t="n">
        <v>1</v>
      </c>
      <c r="R28" s="1" t="n">
        <v>0</v>
      </c>
      <c r="S28" s="23">
        <f>R28/Q28</f>
        <v/>
      </c>
      <c r="T28" s="1" t="n">
        <v>1</v>
      </c>
      <c r="U28" s="1" t="n">
        <v>0</v>
      </c>
      <c r="V28" s="23">
        <f>U28/T28</f>
        <v/>
      </c>
      <c r="W28" s="1" t="n"/>
      <c r="X28" s="1" t="n">
        <v>1</v>
      </c>
      <c r="Y28" s="1" t="n"/>
      <c r="Z28" s="1" t="n">
        <v>1</v>
      </c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 ht="18" customHeight="1" s="25">
      <c r="A29" s="1" t="inlineStr">
        <is>
          <t>宣威市田坝镇捷任通讯店</t>
        </is>
      </c>
      <c r="B29" s="3" t="n">
        <v>2</v>
      </c>
      <c r="C29" s="3" t="n">
        <v>0</v>
      </c>
      <c r="D29" s="3" t="n">
        <v>2</v>
      </c>
      <c r="E29" s="1" t="n">
        <v>0</v>
      </c>
      <c r="F29" s="1" t="n"/>
      <c r="G29" s="23">
        <f>F29/E29</f>
        <v/>
      </c>
      <c r="H29" s="1" t="n">
        <v>1</v>
      </c>
      <c r="I29" s="1" t="n">
        <v>0</v>
      </c>
      <c r="J29" s="23">
        <f>I29/H29</f>
        <v/>
      </c>
      <c r="K29" s="1" t="n">
        <v>1</v>
      </c>
      <c r="L29" s="1" t="n">
        <v>0</v>
      </c>
      <c r="M29" s="23">
        <f>L29/K29</f>
        <v/>
      </c>
      <c r="N29" s="1" t="n">
        <v>0</v>
      </c>
      <c r="O29" s="1" t="n"/>
      <c r="P29" s="23">
        <f>O29/N29</f>
        <v/>
      </c>
      <c r="Q29" s="1" t="n">
        <v>1</v>
      </c>
      <c r="R29" s="1" t="n">
        <v>0</v>
      </c>
      <c r="S29" s="23">
        <f>R29/Q29</f>
        <v/>
      </c>
      <c r="T29" s="1" t="n">
        <v>1</v>
      </c>
      <c r="U29" s="1" t="n">
        <v>0</v>
      </c>
      <c r="V29" s="23">
        <f>U29/T29</f>
        <v/>
      </c>
      <c r="W29" s="1" t="n"/>
      <c r="X29" s="1" t="n"/>
      <c r="Y29" s="1" t="n"/>
      <c r="Z29" s="1" t="n">
        <v>1</v>
      </c>
      <c r="AA29" s="1" t="n">
        <v>1</v>
      </c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 ht="18" customHeight="1" s="25">
      <c r="A30" s="1" t="inlineStr">
        <is>
          <t>宣威市西泽通讯服务部</t>
        </is>
      </c>
      <c r="B30" s="3" t="n">
        <v>2</v>
      </c>
      <c r="C30" s="3" t="n">
        <v>0</v>
      </c>
      <c r="D30" s="3" t="n">
        <v>2</v>
      </c>
      <c r="E30" s="1" t="n">
        <v>0</v>
      </c>
      <c r="F30" s="1" t="n"/>
      <c r="G30" s="23">
        <f>F30/E30</f>
        <v/>
      </c>
      <c r="H30" s="1" t="n">
        <v>1</v>
      </c>
      <c r="I30" s="1" t="n">
        <v>0</v>
      </c>
      <c r="J30" s="23">
        <f>I30/H30</f>
        <v/>
      </c>
      <c r="K30" s="1" t="n">
        <v>1</v>
      </c>
      <c r="L30" s="1" t="n">
        <v>0</v>
      </c>
      <c r="M30" s="23">
        <f>L30/K30</f>
        <v/>
      </c>
      <c r="N30" s="1" t="n">
        <v>0</v>
      </c>
      <c r="O30" s="1" t="n"/>
      <c r="P30" s="23">
        <f>O30/N30</f>
        <v/>
      </c>
      <c r="Q30" s="1" t="n">
        <v>1</v>
      </c>
      <c r="R30" s="1" t="n">
        <v>0</v>
      </c>
      <c r="S30" s="23">
        <f>R30/Q30</f>
        <v/>
      </c>
      <c r="T30" s="1" t="n">
        <v>1</v>
      </c>
      <c r="U30" s="1" t="n">
        <v>0</v>
      </c>
      <c r="V30" s="23">
        <f>U30/T30</f>
        <v/>
      </c>
      <c r="W30" s="1" t="n"/>
      <c r="X30" s="1" t="n"/>
      <c r="Y30" s="1" t="n"/>
      <c r="Z30" s="1" t="n">
        <v>1</v>
      </c>
      <c r="AA30" s="1" t="n">
        <v>1</v>
      </c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 ht="18" customHeight="1" s="25">
      <c r="A31" s="1" t="inlineStr">
        <is>
          <t>宣威市宏利通讯移动特约代理点</t>
        </is>
      </c>
      <c r="B31" s="3" t="n">
        <v>1</v>
      </c>
      <c r="C31" s="3" t="n">
        <v>0</v>
      </c>
      <c r="D31" s="3" t="n">
        <v>1</v>
      </c>
      <c r="E31" s="1" t="n">
        <v>0</v>
      </c>
      <c r="F31" s="1" t="n"/>
      <c r="G31" s="23">
        <f>F31/E31</f>
        <v/>
      </c>
      <c r="H31" s="1" t="n">
        <v>1</v>
      </c>
      <c r="I31" s="1" t="n">
        <v>0</v>
      </c>
      <c r="J31" s="23">
        <f>I31/H31</f>
        <v/>
      </c>
      <c r="K31" s="1" t="n">
        <v>1</v>
      </c>
      <c r="L31" s="1" t="n">
        <v>0</v>
      </c>
      <c r="M31" s="23">
        <f>L31/K31</f>
        <v/>
      </c>
      <c r="N31" s="1" t="n">
        <v>0</v>
      </c>
      <c r="O31" s="1" t="n"/>
      <c r="P31" s="23">
        <f>O31/N31</f>
        <v/>
      </c>
      <c r="Q31" s="1" t="n">
        <v>1</v>
      </c>
      <c r="R31" s="1" t="n">
        <v>0</v>
      </c>
      <c r="S31" s="23">
        <f>R31/Q31</f>
        <v/>
      </c>
      <c r="T31" s="1" t="n">
        <v>1</v>
      </c>
      <c r="U31" s="1" t="n">
        <v>0</v>
      </c>
      <c r="V31" s="23">
        <f>U31/T31</f>
        <v/>
      </c>
      <c r="W31" s="1" t="n"/>
      <c r="X31" s="1" t="n"/>
      <c r="Y31" s="1" t="n"/>
      <c r="Z31" s="1" t="n"/>
      <c r="AA31" s="1" t="n">
        <v>1</v>
      </c>
      <c r="AB31" s="1" t="n">
        <v>0</v>
      </c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 ht="18" customHeight="1" s="25">
      <c r="A32" s="1" t="inlineStr">
        <is>
          <t>宣威市倘塘镇联启通讯经营指定专营店</t>
        </is>
      </c>
      <c r="B32" s="3" t="n">
        <v>1</v>
      </c>
      <c r="C32" s="3" t="n">
        <v>0</v>
      </c>
      <c r="D32" s="3" t="n">
        <v>1</v>
      </c>
      <c r="E32" s="1" t="n">
        <v>0</v>
      </c>
      <c r="F32" s="1" t="n"/>
      <c r="G32" s="23">
        <f>F32/E32</f>
        <v/>
      </c>
      <c r="H32" s="1" t="n">
        <v>1</v>
      </c>
      <c r="I32" s="1" t="n">
        <v>0</v>
      </c>
      <c r="J32" s="23">
        <f>I32/H32</f>
        <v/>
      </c>
      <c r="K32" s="1" t="n">
        <v>1</v>
      </c>
      <c r="L32" s="1" t="n">
        <v>0</v>
      </c>
      <c r="M32" s="23">
        <f>L32/K32</f>
        <v/>
      </c>
      <c r="N32" s="1" t="n">
        <v>0</v>
      </c>
      <c r="O32" s="1" t="n"/>
      <c r="P32" s="23">
        <f>O32/N32</f>
        <v/>
      </c>
      <c r="Q32" s="1" t="n">
        <v>1</v>
      </c>
      <c r="R32" s="1" t="n">
        <v>0</v>
      </c>
      <c r="S32" s="23">
        <f>R32/Q32</f>
        <v/>
      </c>
      <c r="T32" s="1" t="n">
        <v>1</v>
      </c>
      <c r="U32" s="1" t="n">
        <v>0</v>
      </c>
      <c r="V32" s="23">
        <f>U32/T32</f>
        <v/>
      </c>
      <c r="W32" s="1" t="n"/>
      <c r="X32" s="1" t="n"/>
      <c r="Y32" s="1" t="n">
        <v>0</v>
      </c>
      <c r="Z32" s="1" t="n"/>
      <c r="AA32" s="1" t="n">
        <v>1</v>
      </c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 ht="18" customHeight="1" s="25">
      <c r="A33" s="2" t="inlineStr">
        <is>
          <t>总计</t>
        </is>
      </c>
      <c r="B33" s="2">
        <f>SUM(B2:B32)</f>
        <v/>
      </c>
      <c r="C33" s="2">
        <f>SUM(C2:C32)</f>
        <v/>
      </c>
      <c r="D33" s="2">
        <f>SUM(D2:D32)</f>
        <v/>
      </c>
      <c r="E33" s="2">
        <f>SUM(E2:E32)</f>
        <v/>
      </c>
      <c r="F33" s="2">
        <f>SUM(F2:F32)</f>
        <v/>
      </c>
      <c r="G33" s="24">
        <f>F33/E33</f>
        <v/>
      </c>
      <c r="H33" s="2">
        <f>SUM(H2:H32)</f>
        <v/>
      </c>
      <c r="I33" s="2">
        <f>SUM(I2:I32)</f>
        <v/>
      </c>
      <c r="J33" s="24">
        <f>I33/H33</f>
        <v/>
      </c>
      <c r="K33" s="2">
        <f>SUM(K2:K32)</f>
        <v/>
      </c>
      <c r="L33" s="2">
        <f>SUM(L2:L32)</f>
        <v/>
      </c>
      <c r="M33" s="24">
        <f>L33/K33</f>
        <v/>
      </c>
      <c r="N33" s="2">
        <f>SUM(N2:N32)</f>
        <v/>
      </c>
      <c r="O33" s="2">
        <f>SUM(O2:O32)</f>
        <v/>
      </c>
      <c r="P33" s="24">
        <f>O33/N33</f>
        <v/>
      </c>
      <c r="Q33" s="2">
        <f>SUM(Q2:Q32)</f>
        <v/>
      </c>
      <c r="R33" s="2">
        <f>SUM(R2:R32)</f>
        <v/>
      </c>
      <c r="S33" s="24">
        <f>R33/Q33</f>
        <v/>
      </c>
      <c r="T33" s="2">
        <f>SUM(T2:T32)</f>
        <v/>
      </c>
      <c r="U33" s="2">
        <f>SUM(U2:U32)</f>
        <v/>
      </c>
      <c r="V33" s="24">
        <f>U33/T33</f>
        <v/>
      </c>
      <c r="W33" s="2">
        <f>SUM(W2:W32)</f>
        <v/>
      </c>
      <c r="X33" s="2">
        <f>SUM(X2:X32)</f>
        <v/>
      </c>
      <c r="Y33" s="2">
        <f>SUM(Y2:Y32)</f>
        <v/>
      </c>
      <c r="Z33" s="2">
        <f>SUM(Z2:Z32)</f>
        <v/>
      </c>
      <c r="AA33" s="2">
        <f>SUM(AA2:AA32)</f>
        <v/>
      </c>
      <c r="AB33" s="2">
        <f>SUM(AB2:AB32)</f>
        <v/>
      </c>
      <c r="AC33" s="2">
        <f>SUM(AC2:AC32)</f>
        <v/>
      </c>
      <c r="AD33" s="2">
        <f>SUM(AD2:AD32)</f>
        <v/>
      </c>
      <c r="AE33" s="2">
        <f>SUM(AE2:AE32)</f>
        <v/>
      </c>
      <c r="AF33" s="2">
        <f>SUM(AF2:AF32)</f>
        <v/>
      </c>
      <c r="AG33" s="2">
        <f>SUM(AG2:AG32)</f>
        <v/>
      </c>
      <c r="AH33" s="2">
        <f>SUM(AH2:AH32)</f>
        <v/>
      </c>
      <c r="AI33" s="2">
        <f>SUM(AI2:AI32)</f>
        <v/>
      </c>
      <c r="AJ33" s="2">
        <f>SUM(AJ2:AJ32)</f>
        <v/>
      </c>
    </row>
  </sheetData>
  <conditionalFormatting sqref="J2:J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P3" sqref="P3:P23"/>
    </sheetView>
  </sheetViews>
  <sheetFormatPr baseColWidth="10" defaultRowHeight="14"/>
  <cols>
    <col width="41.6640625" bestFit="1" customWidth="1" style="25" min="1" max="1"/>
    <col width="13.83203125" customWidth="1" style="25" min="4" max="17"/>
  </cols>
  <sheetData>
    <row r="1" ht="36" customHeight="1" s="25">
      <c r="A1" s="17" t="inlineStr">
        <is>
          <t>门店名称</t>
        </is>
      </c>
      <c r="B1" s="26" t="inlineStr">
        <is>
          <t>导购</t>
        </is>
      </c>
      <c r="C1" s="26" t="inlineStr">
        <is>
          <t>督导</t>
        </is>
      </c>
      <c r="D1" s="17" t="inlineStr">
        <is>
          <t xml:space="preserve">畅享 90 Plus </t>
        </is>
      </c>
      <c r="E1" s="27" t="n"/>
      <c r="F1" s="27" t="n"/>
      <c r="G1" s="27" t="n"/>
      <c r="H1" s="27" t="n"/>
      <c r="I1" s="27" t="n"/>
      <c r="J1" s="28" t="n"/>
      <c r="K1" s="17" t="inlineStr">
        <is>
          <t>畅享 90 Pro Max</t>
        </is>
      </c>
      <c r="L1" s="27" t="n"/>
      <c r="M1" s="27" t="n"/>
      <c r="N1" s="27" t="n"/>
      <c r="O1" s="27" t="n"/>
      <c r="P1" s="27" t="n"/>
      <c r="Q1" s="28" t="n"/>
    </row>
    <row r="2" ht="30" customHeight="1" s="25">
      <c r="A2" s="29" t="n"/>
      <c r="B2" s="29" t="n"/>
      <c r="C2" s="29" t="n"/>
      <c r="D2" s="14" t="inlineStr">
        <is>
          <t>首销日目标</t>
        </is>
      </c>
      <c r="E2" s="14" t="inlineStr">
        <is>
          <t>首销日达成</t>
        </is>
      </c>
      <c r="F2" s="14" t="inlineStr">
        <is>
          <t>首销日达成率</t>
        </is>
      </c>
      <c r="G2" s="14" t="inlineStr">
        <is>
          <t>首销5天目标</t>
        </is>
      </c>
      <c r="H2" s="14" t="inlineStr">
        <is>
          <t>首销5天达成</t>
        </is>
      </c>
      <c r="I2" s="14" t="inlineStr">
        <is>
          <t>首销5天达成率</t>
        </is>
      </c>
      <c r="J2" s="14" t="inlineStr">
        <is>
          <t>首销月</t>
        </is>
      </c>
      <c r="K2" s="14" t="inlineStr">
        <is>
          <t>首销日目标</t>
        </is>
      </c>
      <c r="L2" s="14" t="inlineStr">
        <is>
          <t>首销日达成</t>
        </is>
      </c>
      <c r="M2" s="14" t="inlineStr">
        <is>
          <t>首销日达成率</t>
        </is>
      </c>
      <c r="N2" s="14" t="inlineStr">
        <is>
          <t>首销5天目标</t>
        </is>
      </c>
      <c r="O2" s="14" t="inlineStr">
        <is>
          <t>首销5天达成</t>
        </is>
      </c>
      <c r="P2" s="14" t="inlineStr">
        <is>
          <t>首销5天达成率</t>
        </is>
      </c>
      <c r="Q2" s="14" t="inlineStr">
        <is>
          <t>首销月</t>
        </is>
      </c>
    </row>
    <row r="3" ht="16" customHeight="1" s="25">
      <c r="A3" s="7" t="inlineStr">
        <is>
          <t>曲靖市宣威市联启通讯智能家居店</t>
        </is>
      </c>
      <c r="B3" s="30" t="inlineStr">
        <is>
          <t>张必然</t>
        </is>
      </c>
      <c r="C3" s="30" t="inlineStr">
        <is>
          <t>包月秀</t>
        </is>
      </c>
      <c r="D3" s="9" t="n">
        <v>2</v>
      </c>
      <c r="E3" s="9" t="n">
        <v>0</v>
      </c>
      <c r="F3" s="21">
        <f>E3/D3</f>
        <v/>
      </c>
      <c r="G3" s="9" t="n">
        <v>5</v>
      </c>
      <c r="H3" s="9" t="n">
        <v>0</v>
      </c>
      <c r="I3" s="21">
        <f>H3/G3</f>
        <v/>
      </c>
      <c r="J3" s="9" t="n">
        <v>26</v>
      </c>
      <c r="K3" s="9" t="n">
        <v>2</v>
      </c>
      <c r="L3" s="9" t="n">
        <v>1</v>
      </c>
      <c r="M3" s="21">
        <f>L3/K3</f>
        <v/>
      </c>
      <c r="N3" s="9" t="n">
        <v>4</v>
      </c>
      <c r="O3" s="9" t="n">
        <v>1</v>
      </c>
      <c r="P3" s="21">
        <f>O3/N3</f>
        <v/>
      </c>
      <c r="Q3" s="9" t="n">
        <v>25</v>
      </c>
    </row>
    <row r="4" ht="16" customHeight="1" s="25">
      <c r="A4" s="7" t="inlineStr">
        <is>
          <t>曲靖市宣威市联启通讯建设西路12分店</t>
        </is>
      </c>
      <c r="B4" s="30" t="inlineStr">
        <is>
          <t>周然</t>
        </is>
      </c>
      <c r="C4" s="30" t="inlineStr">
        <is>
          <t>包月秀</t>
        </is>
      </c>
      <c r="D4" s="9" t="n">
        <v>2</v>
      </c>
      <c r="E4" s="9" t="n">
        <v>1</v>
      </c>
      <c r="F4" s="21">
        <f>E4/D4</f>
        <v/>
      </c>
      <c r="G4" s="9" t="n">
        <v>4</v>
      </c>
      <c r="H4" s="9" t="n">
        <v>1</v>
      </c>
      <c r="I4" s="21">
        <f>H4/G4</f>
        <v/>
      </c>
      <c r="J4" s="9" t="n">
        <v>24</v>
      </c>
      <c r="K4" s="9" t="n">
        <v>3</v>
      </c>
      <c r="L4" s="9" t="n">
        <v>0</v>
      </c>
      <c r="M4" s="21">
        <f>L4/K4</f>
        <v/>
      </c>
      <c r="N4" s="9" t="n">
        <v>7</v>
      </c>
      <c r="O4" s="9" t="n">
        <v>0</v>
      </c>
      <c r="P4" s="21">
        <f>O4/N4</f>
        <v/>
      </c>
      <c r="Q4" s="9" t="n">
        <v>40</v>
      </c>
    </row>
    <row r="5" ht="16" customHeight="1" s="25">
      <c r="A5" s="7" t="inlineStr">
        <is>
          <t>曲靖市宣威市建设西路联启通讯合作店</t>
        </is>
      </c>
      <c r="B5" s="30" t="inlineStr">
        <is>
          <t>/</t>
        </is>
      </c>
      <c r="C5" s="30" t="inlineStr">
        <is>
          <t>包月秀</t>
        </is>
      </c>
      <c r="D5" s="9" t="n">
        <v>2</v>
      </c>
      <c r="E5" s="9" t="n">
        <v>0</v>
      </c>
      <c r="F5" s="21">
        <f>E5/D5</f>
        <v/>
      </c>
      <c r="G5" s="9" t="n">
        <v>4</v>
      </c>
      <c r="H5" s="9" t="n">
        <v>0</v>
      </c>
      <c r="I5" s="21">
        <f>H5/G5</f>
        <v/>
      </c>
      <c r="J5" s="9" t="n">
        <v>24</v>
      </c>
      <c r="K5" s="9" t="n">
        <v>1</v>
      </c>
      <c r="L5" s="9" t="n">
        <v>0</v>
      </c>
      <c r="M5" s="21">
        <f>L5/K5</f>
        <v/>
      </c>
      <c r="N5" s="9" t="n">
        <v>3</v>
      </c>
      <c r="O5" s="9" t="n">
        <v>0</v>
      </c>
      <c r="P5" s="21">
        <f>O5/N5</f>
        <v/>
      </c>
      <c r="Q5" s="9" t="n">
        <v>17</v>
      </c>
    </row>
    <row r="6" ht="16" customHeight="1" s="25">
      <c r="A6" s="7" t="inlineStr">
        <is>
          <t>曲靖市宣威市联启通讯建设西路13分店</t>
        </is>
      </c>
      <c r="B6" s="30" t="inlineStr">
        <is>
          <t>陈永鹏</t>
        </is>
      </c>
      <c r="C6" s="30" t="inlineStr">
        <is>
          <t>包月秀</t>
        </is>
      </c>
      <c r="D6" s="9" t="n">
        <v>2</v>
      </c>
      <c r="E6" s="9" t="n">
        <v>0</v>
      </c>
      <c r="F6" s="21">
        <f>E6/D6</f>
        <v/>
      </c>
      <c r="G6" s="9" t="n">
        <v>4</v>
      </c>
      <c r="H6" s="9" t="n">
        <v>0</v>
      </c>
      <c r="I6" s="21">
        <f>H6/G6</f>
        <v/>
      </c>
      <c r="J6" s="9" t="n">
        <v>21</v>
      </c>
      <c r="K6" s="9" t="n">
        <v>1</v>
      </c>
      <c r="L6" s="9" t="n">
        <v>0</v>
      </c>
      <c r="M6" s="21">
        <f>L6/K6</f>
        <v/>
      </c>
      <c r="N6" s="9" t="n">
        <v>3</v>
      </c>
      <c r="O6" s="9" t="n">
        <v>0</v>
      </c>
      <c r="P6" s="21">
        <f>O6/N6</f>
        <v/>
      </c>
      <c r="Q6" s="9" t="n">
        <v>21</v>
      </c>
    </row>
    <row r="7" ht="16" customHeight="1" s="25">
      <c r="A7" s="7" t="inlineStr">
        <is>
          <t>曲靖市宣威市联启通讯振兴街总店</t>
        </is>
      </c>
      <c r="B7" s="30" t="n"/>
      <c r="C7" s="30" t="inlineStr">
        <is>
          <t>包月秀</t>
        </is>
      </c>
      <c r="D7" s="9" t="n">
        <v>1</v>
      </c>
      <c r="E7" s="9" t="n">
        <v>0</v>
      </c>
      <c r="F7" s="21">
        <f>E7/D7</f>
        <v/>
      </c>
      <c r="G7" s="9" t="n">
        <v>3</v>
      </c>
      <c r="H7" s="9" t="n">
        <v>0</v>
      </c>
      <c r="I7" s="21">
        <f>H7/G7</f>
        <v/>
      </c>
      <c r="J7" s="9" t="n">
        <v>17</v>
      </c>
      <c r="K7" s="9" t="n">
        <v>3</v>
      </c>
      <c r="L7" s="9" t="n">
        <v>0</v>
      </c>
      <c r="M7" s="21">
        <f>L7/K7</f>
        <v/>
      </c>
      <c r="N7" s="9" t="n">
        <v>7</v>
      </c>
      <c r="O7" s="9" t="n">
        <v>0</v>
      </c>
      <c r="P7" s="21">
        <f>O7/N7</f>
        <v/>
      </c>
      <c r="Q7" s="9" t="n">
        <v>41</v>
      </c>
    </row>
    <row r="8" ht="16" customHeight="1" s="25">
      <c r="A8" s="7" t="inlineStr">
        <is>
          <t>曲靖市沾益区联启通讯西平路店</t>
        </is>
      </c>
      <c r="B8" s="30" t="inlineStr">
        <is>
          <t>赵蜜</t>
        </is>
      </c>
      <c r="C8" s="30" t="inlineStr">
        <is>
          <t>包月秀</t>
        </is>
      </c>
      <c r="D8" s="9" t="n">
        <v>1</v>
      </c>
      <c r="E8" s="9" t="n">
        <v>0</v>
      </c>
      <c r="F8" s="21">
        <f>E8/D8</f>
        <v/>
      </c>
      <c r="G8" s="9" t="n">
        <v>3</v>
      </c>
      <c r="H8" s="9" t="n">
        <v>0</v>
      </c>
      <c r="I8" s="21">
        <f>H8/G8</f>
        <v/>
      </c>
      <c r="J8" s="9" t="n">
        <v>15</v>
      </c>
      <c r="K8" s="9" t="n">
        <v>2</v>
      </c>
      <c r="L8" s="9" t="n">
        <v>0</v>
      </c>
      <c r="M8" s="21">
        <f>L8/K8</f>
        <v/>
      </c>
      <c r="N8" s="9" t="n">
        <v>4</v>
      </c>
      <c r="O8" s="9" t="n">
        <v>0</v>
      </c>
      <c r="P8" s="21">
        <f>O8/N8</f>
        <v/>
      </c>
      <c r="Q8" s="9" t="n">
        <v>27</v>
      </c>
    </row>
    <row r="9" ht="16" customHeight="1" s="25">
      <c r="A9" s="7" t="inlineStr">
        <is>
          <t>曲靖市沾益区联启通讯龙华北路店</t>
        </is>
      </c>
      <c r="B9" s="30" t="inlineStr">
        <is>
          <t>/</t>
        </is>
      </c>
      <c r="C9" s="30" t="inlineStr">
        <is>
          <t>包月秀</t>
        </is>
      </c>
      <c r="D9" s="9" t="n">
        <v>1</v>
      </c>
      <c r="E9" s="9" t="n">
        <v>0</v>
      </c>
      <c r="F9" s="21">
        <f>E9/D9</f>
        <v/>
      </c>
      <c r="G9" s="9" t="n">
        <v>3</v>
      </c>
      <c r="H9" s="9" t="n">
        <v>0</v>
      </c>
      <c r="I9" s="21">
        <f>H9/G9</f>
        <v/>
      </c>
      <c r="J9" s="9" t="n">
        <v>14</v>
      </c>
      <c r="K9" s="9" t="n">
        <v>2</v>
      </c>
      <c r="L9" s="9" t="n">
        <v>0</v>
      </c>
      <c r="M9" s="21">
        <f>L9/K9</f>
        <v/>
      </c>
      <c r="N9" s="9" t="n">
        <v>5</v>
      </c>
      <c r="O9" s="9" t="n">
        <v>0</v>
      </c>
      <c r="P9" s="21">
        <f>O9/N9</f>
        <v/>
      </c>
      <c r="Q9" s="9" t="n">
        <v>31</v>
      </c>
    </row>
    <row r="10" ht="16" customHeight="1" s="25">
      <c r="A10" s="10" t="inlineStr">
        <is>
          <t>云南省曲靖市宣威市建设街联启华为授权体验店</t>
        </is>
      </c>
      <c r="B10" s="11" t="inlineStr">
        <is>
          <t>/</t>
        </is>
      </c>
      <c r="C10" s="30" t="inlineStr">
        <is>
          <t>包月秀</t>
        </is>
      </c>
      <c r="D10" s="12" t="n">
        <v>3</v>
      </c>
      <c r="E10" s="12" t="n">
        <v>0</v>
      </c>
      <c r="F10" s="21">
        <f>E10/D10</f>
        <v/>
      </c>
      <c r="G10" s="12" t="n">
        <v>8</v>
      </c>
      <c r="H10" s="12" t="n">
        <v>0</v>
      </c>
      <c r="I10" s="21">
        <f>H10/G10</f>
        <v/>
      </c>
      <c r="J10" s="12" t="n">
        <v>36</v>
      </c>
      <c r="K10" s="12" t="n">
        <v>2</v>
      </c>
      <c r="L10" s="12" t="n">
        <v>0</v>
      </c>
      <c r="M10" s="21">
        <f>L10/K10</f>
        <v/>
      </c>
      <c r="N10" s="12" t="n">
        <v>6</v>
      </c>
      <c r="O10" s="12" t="n">
        <v>0</v>
      </c>
      <c r="P10" s="21">
        <f>O10/N10</f>
        <v/>
      </c>
      <c r="Q10" s="12" t="n">
        <v>32</v>
      </c>
    </row>
    <row r="11" ht="16" customHeight="1" s="25">
      <c r="A11" s="10" t="inlineStr">
        <is>
          <t>云南省曲靖市沾益区龙华北路联启华为授权体验店</t>
        </is>
      </c>
      <c r="B11" s="11" t="inlineStr">
        <is>
          <t>/</t>
        </is>
      </c>
      <c r="C11" s="30" t="inlineStr">
        <is>
          <t>包月秀</t>
        </is>
      </c>
      <c r="D11" s="12" t="n">
        <v>1</v>
      </c>
      <c r="E11" s="12" t="n">
        <v>0</v>
      </c>
      <c r="F11" s="21">
        <f>E11/D11</f>
        <v/>
      </c>
      <c r="G11" s="12" t="n">
        <v>4</v>
      </c>
      <c r="H11" s="12" t="n">
        <v>0</v>
      </c>
      <c r="I11" s="21">
        <f>H11/G11</f>
        <v/>
      </c>
      <c r="J11" s="12" t="n">
        <v>19</v>
      </c>
      <c r="K11" s="12" t="n">
        <v>1</v>
      </c>
      <c r="L11" s="12" t="n">
        <v>0</v>
      </c>
      <c r="M11" s="21">
        <f>L11/K11</f>
        <v/>
      </c>
      <c r="N11" s="12" t="n">
        <v>3</v>
      </c>
      <c r="O11" s="12" t="n">
        <v>0</v>
      </c>
      <c r="P11" s="21">
        <f>O11/N11</f>
        <v/>
      </c>
      <c r="Q11" s="12" t="n">
        <v>16</v>
      </c>
    </row>
    <row r="12" ht="16" customHeight="1" s="25">
      <c r="A12" s="16" t="inlineStr">
        <is>
          <t>合计</t>
        </is>
      </c>
      <c r="B12" s="28" t="n"/>
      <c r="C12" s="16" t="n"/>
      <c r="D12" s="16">
        <f>SUM(D3:D11)</f>
        <v/>
      </c>
      <c r="E12" s="16" t="n"/>
      <c r="F12" s="22">
        <f>E12/D12</f>
        <v/>
      </c>
      <c r="G12" s="16">
        <f>SUM(G3:G11)</f>
        <v/>
      </c>
      <c r="H12" s="16" t="n"/>
      <c r="I12" s="22">
        <f>H12/G12</f>
        <v/>
      </c>
      <c r="J12" s="16">
        <f>SUM(J3:J11)</f>
        <v/>
      </c>
      <c r="K12" s="16">
        <f>SUM(K3:K11)</f>
        <v/>
      </c>
      <c r="L12" s="16" t="n"/>
      <c r="M12" s="22">
        <f>L12/K12</f>
        <v/>
      </c>
      <c r="N12" s="16">
        <f>SUM(N3:N11)</f>
        <v/>
      </c>
      <c r="O12" s="16" t="n"/>
      <c r="P12" s="22">
        <f>O12/N12</f>
        <v/>
      </c>
      <c r="Q12" s="16">
        <f>SUM(Q3:Q11)</f>
        <v/>
      </c>
    </row>
    <row r="13" ht="16" customHeight="1" s="25">
      <c r="A13" s="7" t="inlineStr">
        <is>
          <t>曲靖市宣威市沃尔玛商业街荣诚通讯合作店</t>
        </is>
      </c>
      <c r="B13" s="13" t="n"/>
      <c r="C13" s="11" t="inlineStr">
        <is>
          <t>王瑜</t>
        </is>
      </c>
      <c r="D13" s="9" t="n">
        <v>1</v>
      </c>
      <c r="E13" s="9" t="n">
        <v>0</v>
      </c>
      <c r="F13" s="21">
        <f>E13/D13</f>
        <v/>
      </c>
      <c r="G13" s="9" t="n">
        <v>2</v>
      </c>
      <c r="H13" s="9" t="n">
        <v>0</v>
      </c>
      <c r="I13" s="21">
        <f>H13/G13</f>
        <v/>
      </c>
      <c r="J13" s="9" t="n">
        <v>9</v>
      </c>
      <c r="K13" s="9" t="n">
        <v>0</v>
      </c>
      <c r="L13" s="9" t="n">
        <v>0</v>
      </c>
      <c r="M13" s="21">
        <f>L13/K13</f>
        <v/>
      </c>
      <c r="N13" s="9" t="n">
        <v>1</v>
      </c>
      <c r="O13" s="9" t="n">
        <v>0</v>
      </c>
      <c r="P13" s="21">
        <f>O13/N13</f>
        <v/>
      </c>
      <c r="Q13" s="9" t="n">
        <v>5</v>
      </c>
    </row>
    <row r="14" ht="16" customHeight="1" s="25">
      <c r="A14" s="13" t="inlineStr">
        <is>
          <t>云南省曲靖市宣威市振兴街同文华为授权体验店</t>
        </is>
      </c>
      <c r="B14" s="13" t="n"/>
      <c r="C14" s="11" t="inlineStr">
        <is>
          <t>王瑜</t>
        </is>
      </c>
      <c r="D14" s="12" t="n">
        <v>2</v>
      </c>
      <c r="E14" s="12" t="n">
        <v>0</v>
      </c>
      <c r="F14" s="21">
        <f>E14/D14</f>
        <v/>
      </c>
      <c r="G14" s="12" t="n">
        <v>4</v>
      </c>
      <c r="H14" s="12" t="n">
        <v>0</v>
      </c>
      <c r="I14" s="21">
        <f>H14/G14</f>
        <v/>
      </c>
      <c r="J14" s="12" t="n">
        <v>19</v>
      </c>
      <c r="K14" s="12" t="n">
        <v>1</v>
      </c>
      <c r="L14" s="12" t="n">
        <v>0</v>
      </c>
      <c r="M14" s="21">
        <f>L14/K14</f>
        <v/>
      </c>
      <c r="N14" s="12" t="n">
        <v>3</v>
      </c>
      <c r="O14" s="12" t="n">
        <v>0</v>
      </c>
      <c r="P14" s="21">
        <f>O14/N14</f>
        <v/>
      </c>
      <c r="Q14" s="12" t="n">
        <v>18</v>
      </c>
    </row>
    <row r="15" ht="16" customHeight="1" s="25">
      <c r="A15" s="7" t="inlineStr">
        <is>
          <t>曲靖市宣威市大众通讯振兴街店</t>
        </is>
      </c>
      <c r="B15" s="13" t="inlineStr">
        <is>
          <t>马举川</t>
        </is>
      </c>
      <c r="C15" s="11" t="inlineStr">
        <is>
          <t>王瑜</t>
        </is>
      </c>
      <c r="D15" s="9" t="n">
        <v>4</v>
      </c>
      <c r="E15" s="9" t="n">
        <v>0</v>
      </c>
      <c r="F15" s="21">
        <f>E15/D15</f>
        <v/>
      </c>
      <c r="G15" s="9" t="n">
        <v>10</v>
      </c>
      <c r="H15" s="9" t="n">
        <v>0</v>
      </c>
      <c r="I15" s="21">
        <f>H15/G15</f>
        <v/>
      </c>
      <c r="J15" s="9" t="n">
        <v>53</v>
      </c>
      <c r="K15" s="9" t="n">
        <v>2</v>
      </c>
      <c r="L15" s="9" t="n">
        <v>0</v>
      </c>
      <c r="M15" s="21">
        <f>L15/K15</f>
        <v/>
      </c>
      <c r="N15" s="9" t="n">
        <v>5</v>
      </c>
      <c r="O15" s="9" t="n">
        <v>0</v>
      </c>
      <c r="P15" s="21">
        <f>O15/N15</f>
        <v/>
      </c>
      <c r="Q15" s="9" t="n">
        <v>31</v>
      </c>
    </row>
    <row r="16" ht="16" customHeight="1" s="25">
      <c r="A16" s="7" t="inlineStr">
        <is>
          <t>云南省宣威市九机网1店</t>
        </is>
      </c>
      <c r="B16" s="13" t="inlineStr">
        <is>
          <t>刘博</t>
        </is>
      </c>
      <c r="C16" s="11" t="inlineStr">
        <is>
          <t>王瑜</t>
        </is>
      </c>
      <c r="D16" s="9" t="n">
        <v>2</v>
      </c>
      <c r="E16" s="9" t="n">
        <v>0</v>
      </c>
      <c r="F16" s="21">
        <f>E16/D16</f>
        <v/>
      </c>
      <c r="G16" s="9" t="n">
        <v>6</v>
      </c>
      <c r="H16" s="9" t="n">
        <v>0</v>
      </c>
      <c r="I16" s="21">
        <f>H16/G16</f>
        <v/>
      </c>
      <c r="J16" s="9" t="n">
        <v>32</v>
      </c>
      <c r="K16" s="9" t="n">
        <v>1</v>
      </c>
      <c r="L16" s="9" t="n">
        <v>0</v>
      </c>
      <c r="M16" s="21">
        <f>L16/K16</f>
        <v/>
      </c>
      <c r="N16" s="9" t="n">
        <v>2</v>
      </c>
      <c r="O16" s="9" t="n">
        <v>0</v>
      </c>
      <c r="P16" s="21">
        <f>O16/N16</f>
        <v/>
      </c>
      <c r="Q16" s="9" t="n">
        <v>11</v>
      </c>
    </row>
    <row r="17" ht="16" customHeight="1" s="25">
      <c r="A17" s="7" t="inlineStr">
        <is>
          <t>曲靖市宣威振兴街大众通讯2分店</t>
        </is>
      </c>
      <c r="B17" s="13" t="inlineStr">
        <is>
          <t>钱彩艳</t>
        </is>
      </c>
      <c r="C17" s="11" t="inlineStr">
        <is>
          <t>王瑜</t>
        </is>
      </c>
      <c r="D17" s="9" t="n">
        <v>2</v>
      </c>
      <c r="E17" s="9" t="n">
        <v>0</v>
      </c>
      <c r="F17" s="21">
        <f>E17/D17</f>
        <v/>
      </c>
      <c r="G17" s="9" t="n">
        <v>5</v>
      </c>
      <c r="H17" s="9" t="n">
        <v>0</v>
      </c>
      <c r="I17" s="21">
        <f>H17/G17</f>
        <v/>
      </c>
      <c r="J17" s="9" t="n">
        <v>28</v>
      </c>
      <c r="K17" s="9" t="n">
        <v>1</v>
      </c>
      <c r="L17" s="9" t="n">
        <v>0</v>
      </c>
      <c r="M17" s="21">
        <f>L17/K17</f>
        <v/>
      </c>
      <c r="N17" s="9" t="n">
        <v>2</v>
      </c>
      <c r="O17" s="9" t="n">
        <v>0</v>
      </c>
      <c r="P17" s="21">
        <f>O17/N17</f>
        <v/>
      </c>
      <c r="Q17" s="9" t="n">
        <v>14</v>
      </c>
    </row>
    <row r="18" ht="16" customHeight="1" s="25">
      <c r="A18" s="7" t="inlineStr">
        <is>
          <t>曲靖宣威市文昌通讯振兴中路二楼总店</t>
        </is>
      </c>
      <c r="B18" s="13" t="n"/>
      <c r="C18" s="11" t="inlineStr">
        <is>
          <t>王瑜</t>
        </is>
      </c>
      <c r="D18" s="9" t="n">
        <v>1</v>
      </c>
      <c r="E18" s="9" t="n">
        <v>0</v>
      </c>
      <c r="F18" s="21">
        <f>E18/D18</f>
        <v/>
      </c>
      <c r="G18" s="9" t="n">
        <v>3</v>
      </c>
      <c r="H18" s="9" t="n">
        <v>0</v>
      </c>
      <c r="I18" s="21">
        <f>H18/G18</f>
        <v/>
      </c>
      <c r="J18" s="9" t="n">
        <v>14</v>
      </c>
      <c r="K18" s="9" t="n">
        <v>1</v>
      </c>
      <c r="L18" s="9" t="n">
        <v>0</v>
      </c>
      <c r="M18" s="21">
        <f>L18/K18</f>
        <v/>
      </c>
      <c r="N18" s="9" t="n">
        <v>2</v>
      </c>
      <c r="O18" s="9" t="n">
        <v>0</v>
      </c>
      <c r="P18" s="21">
        <f>O18/N18</f>
        <v/>
      </c>
      <c r="Q18" s="9" t="n">
        <v>10</v>
      </c>
    </row>
    <row r="19" ht="16" customHeight="1" s="25">
      <c r="A19" s="7" t="inlineStr">
        <is>
          <t>云南省宣威市九机网2店</t>
        </is>
      </c>
      <c r="B19" s="13" t="n"/>
      <c r="C19" s="11" t="inlineStr">
        <is>
          <t>王瑜</t>
        </is>
      </c>
      <c r="D19" s="9" t="n">
        <v>1</v>
      </c>
      <c r="E19" s="9" t="n">
        <v>0</v>
      </c>
      <c r="F19" s="21">
        <f>E19/D19</f>
        <v/>
      </c>
      <c r="G19" s="9" t="n">
        <v>1</v>
      </c>
      <c r="H19" s="9" t="n">
        <v>0</v>
      </c>
      <c r="I19" s="21">
        <f>H19/G19</f>
        <v/>
      </c>
      <c r="J19" s="9" t="n">
        <v>7</v>
      </c>
      <c r="K19" s="9" t="n">
        <v>0</v>
      </c>
      <c r="L19" s="9" t="n">
        <v>0</v>
      </c>
      <c r="M19" s="21">
        <f>L19/K19</f>
        <v/>
      </c>
      <c r="N19" s="9" t="n">
        <v>0</v>
      </c>
      <c r="O19" s="9" t="n">
        <v>0</v>
      </c>
      <c r="P19" s="21">
        <f>O19/N19</f>
        <v/>
      </c>
      <c r="Q19" s="9" t="n">
        <v>3</v>
      </c>
    </row>
    <row r="20" ht="16" customHeight="1" s="25">
      <c r="A20" s="7" t="inlineStr">
        <is>
          <t>曲靖市宣威市杜鹃花雕像文昌通讯合作店</t>
        </is>
      </c>
      <c r="B20" s="13" t="n"/>
      <c r="C20" s="11" t="inlineStr">
        <is>
          <t>王瑜</t>
        </is>
      </c>
      <c r="D20" s="9" t="n">
        <v>1</v>
      </c>
      <c r="E20" s="9" t="n">
        <v>0</v>
      </c>
      <c r="F20" s="21">
        <f>E20/D20</f>
        <v/>
      </c>
      <c r="G20" s="9" t="n">
        <v>1</v>
      </c>
      <c r="H20" s="9" t="n">
        <v>0</v>
      </c>
      <c r="I20" s="21">
        <f>H20/G20</f>
        <v/>
      </c>
      <c r="J20" s="9" t="n">
        <v>6</v>
      </c>
      <c r="K20" s="9" t="n">
        <v>1</v>
      </c>
      <c r="L20" s="9" t="n">
        <v>0</v>
      </c>
      <c r="M20" s="21">
        <f>L20/K20</f>
        <v/>
      </c>
      <c r="N20" s="9" t="n">
        <v>1</v>
      </c>
      <c r="O20" s="9" t="n">
        <v>0</v>
      </c>
      <c r="P20" s="21">
        <f>O20/N20</f>
        <v/>
      </c>
      <c r="Q20" s="9" t="n">
        <v>3</v>
      </c>
    </row>
    <row r="21" ht="16" customHeight="1" s="25">
      <c r="A21" s="7" t="inlineStr">
        <is>
          <t>曲靖市宣威市交通门文昌通讯合作店</t>
        </is>
      </c>
      <c r="B21" s="13" t="n"/>
      <c r="C21" s="11" t="inlineStr">
        <is>
          <t>王瑜</t>
        </is>
      </c>
      <c r="D21" s="9" t="n">
        <v>1</v>
      </c>
      <c r="E21" s="9" t="n">
        <v>0</v>
      </c>
      <c r="F21" s="21">
        <f>E21/D21</f>
        <v/>
      </c>
      <c r="G21" s="9" t="n">
        <v>1</v>
      </c>
      <c r="H21" s="9" t="n">
        <v>0</v>
      </c>
      <c r="I21" s="21">
        <f>H21/G21</f>
        <v/>
      </c>
      <c r="J21" s="9" t="n">
        <v>4</v>
      </c>
      <c r="K21" s="9" t="n">
        <v>1</v>
      </c>
      <c r="L21" s="9" t="n">
        <v>0</v>
      </c>
      <c r="M21" s="21">
        <f>L21/K21</f>
        <v/>
      </c>
      <c r="N21" s="9" t="n">
        <v>1</v>
      </c>
      <c r="O21" s="9" t="n">
        <v>0</v>
      </c>
      <c r="P21" s="21">
        <f>O21/N21</f>
        <v/>
      </c>
      <c r="Q21" s="9" t="n">
        <v>3</v>
      </c>
    </row>
    <row r="22" ht="16" customHeight="1" s="25">
      <c r="A22" s="7" t="inlineStr">
        <is>
          <t>华为授权服务中心（龙泽欣都）</t>
        </is>
      </c>
      <c r="B22" s="13" t="n"/>
      <c r="C22" s="11" t="inlineStr">
        <is>
          <t>王瑜</t>
        </is>
      </c>
      <c r="D22" s="9" t="n">
        <v>0</v>
      </c>
      <c r="E22" s="9" t="n">
        <v>0</v>
      </c>
      <c r="F22" s="21">
        <f>E22/D22</f>
        <v/>
      </c>
      <c r="G22" s="9" t="n">
        <v>1</v>
      </c>
      <c r="H22" s="9" t="n">
        <v>0</v>
      </c>
      <c r="I22" s="21">
        <f>H22/G22</f>
        <v/>
      </c>
      <c r="J22" s="9" t="n">
        <v>3</v>
      </c>
      <c r="K22" s="9" t="n">
        <v>0</v>
      </c>
      <c r="L22" s="9" t="n">
        <v>0</v>
      </c>
      <c r="M22" s="21">
        <f>L22/K22</f>
        <v/>
      </c>
      <c r="N22" s="9" t="n">
        <v>1</v>
      </c>
      <c r="O22" s="9" t="n">
        <v>0</v>
      </c>
      <c r="P22" s="21">
        <f>O22/N22</f>
        <v/>
      </c>
      <c r="Q22" s="9" t="n">
        <v>4</v>
      </c>
    </row>
    <row r="23" ht="16" customHeight="1" s="25">
      <c r="A23" s="16" t="inlineStr">
        <is>
          <t>合计</t>
        </is>
      </c>
      <c r="B23" s="28" t="n"/>
      <c r="C23" s="16" t="n"/>
      <c r="D23" s="16">
        <f>SUM(D14:D22)</f>
        <v/>
      </c>
      <c r="E23" s="16" t="n"/>
      <c r="F23" s="22">
        <f>E23/D23</f>
        <v/>
      </c>
      <c r="G23" s="16">
        <f>SUM(G14:G22)</f>
        <v/>
      </c>
      <c r="H23" s="16" t="n"/>
      <c r="I23" s="22">
        <f>H23/G23</f>
        <v/>
      </c>
      <c r="J23" s="16">
        <f>SUM(J14:J22)</f>
        <v/>
      </c>
      <c r="K23" s="16">
        <f>SUM(K14:K22)</f>
        <v/>
      </c>
      <c r="L23" s="16" t="n"/>
      <c r="M23" s="22">
        <f>L23/K23</f>
        <v/>
      </c>
      <c r="N23" s="16">
        <f>SUM(N14:N22)</f>
        <v/>
      </c>
      <c r="O23" s="16" t="n"/>
      <c r="P23" s="22">
        <f>O23/N23</f>
        <v/>
      </c>
      <c r="Q23" s="16">
        <f>SUM(Q14:Q22)</f>
        <v/>
      </c>
    </row>
  </sheetData>
  <mergeCells count="7">
    <mergeCell ref="C1:C2"/>
    <mergeCell ref="B1:B2"/>
    <mergeCell ref="A23:B23"/>
    <mergeCell ref="D1:J1"/>
    <mergeCell ref="A1:A2"/>
    <mergeCell ref="K1:Q1"/>
    <mergeCell ref="A12:B12"/>
  </mergeCells>
  <conditionalFormatting sqref="A1">
    <cfRule type="duplicateValues" priority="9" dxfId="0"/>
  </conditionalFormatting>
  <conditionalFormatting sqref="F3:F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F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:M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P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ptac-duanjiashuang</dc:creator>
  <dcterms:created xsi:type="dcterms:W3CDTF">2026-03-30T05:53:23Z</dcterms:created>
  <dcterms:modified xsi:type="dcterms:W3CDTF">2026-04-01T16:32:25Z</dcterms:modified>
  <cp:lastModifiedBy>office 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79BFE7DB76734E8595B23C19B34B1966_11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1</vt:i4>
  </property>
</Properties>
</file>